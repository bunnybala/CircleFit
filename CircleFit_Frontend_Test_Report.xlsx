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t Testing" sheetId="2" state="visible" r:id="rId2"/>
    <sheet name="UI-UX Testing" sheetId="3" state="visible" r:id="rId3"/>
    <sheet name="Functional Testing" sheetId="4" state="visible" r:id="rId4"/>
    <sheet name="Validation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2B2D42"/>
      <sz val="16"/>
    </font>
    <font>
      <name val="Segoe UI"/>
      <b val="1"/>
      <color rgb="008D99AE"/>
      <sz val="9"/>
    </font>
    <font>
      <name val="Segoe UI"/>
      <b val="1"/>
      <color rgb="001B4332"/>
      <sz val="16"/>
    </font>
    <font>
      <name val="Segoe UI"/>
      <b val="1"/>
      <color rgb="00721C24"/>
      <sz val="16"/>
    </font>
    <font>
      <name val="Segoe UI"/>
      <b val="1"/>
      <color rgb="00FFFFFF"/>
      <sz val="9"/>
    </font>
    <font>
      <name val="Segoe UI"/>
      <b val="1"/>
      <color rgb="003F3D56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b val="1"/>
      <color rgb="001B4332"/>
      <sz val="10"/>
    </font>
    <font>
      <name val="Segoe UI"/>
      <b val="1"/>
      <color rgb="00721C24"/>
      <sz val="10"/>
    </font>
  </fonts>
  <fills count="9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2D6A4F"/>
        <bgColor rgb="002D6A4F"/>
      </patternFill>
    </fill>
    <fill>
      <patternFill patternType="solid">
        <fgColor rgb="00F4F3FF"/>
        <bgColor rgb="00F4F3FF"/>
      </patternFill>
    </fill>
    <fill>
      <patternFill patternType="solid">
        <fgColor rgb="00EAE8FF"/>
        <bgColor rgb="00EAE8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B44D4"/>
      </bottom>
    </border>
    <border>
      <top style="double">
        <color rgb="003F3D56"/>
      </top>
      <bottom style="double">
        <color rgb="003F3D5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5" customWidth="1" min="5" max="5"/>
    <col width="20" customWidth="1" min="6" max="6"/>
    <col width="70" customWidth="1" min="7" max="7"/>
  </cols>
  <sheetData>
    <row r="1" ht="20" customHeight="1">
      <c r="A1" s="1" t="inlineStr">
        <is>
          <t>CircleFit — Comprehensive Frontend Quality Dashboard</t>
        </is>
      </c>
    </row>
    <row r="2" ht="20" customHeight="1"/>
    <row r="3">
      <c r="A3" s="2" t="inlineStr">
        <is>
          <t>Quality metrics aggregated from automated Appium runs and QA tests</t>
        </is>
      </c>
    </row>
    <row r="4" ht="18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4" t="inlineStr">
        <is>
          <t>STATUS</t>
        </is>
      </c>
    </row>
    <row r="5" ht="18" customHeight="1">
      <c r="A5" s="5">
        <f>B15</f>
        <v/>
      </c>
      <c r="B5" s="6">
        <f>C15</f>
        <v/>
      </c>
      <c r="C5" s="7">
        <f>D15</f>
        <v/>
      </c>
      <c r="D5" s="8">
        <f>E15</f>
        <v/>
      </c>
      <c r="E5" s="9">
        <f>IF(E15&gt;=0.95, "DEPLOYABLE", "REJECTED")</f>
        <v/>
      </c>
    </row>
    <row r="6" ht="18" customHeight="1"/>
    <row r="8">
      <c r="A8" s="10" t="inlineStr">
        <is>
          <t>TEST CATEGORIES BREAKDOWN</t>
        </is>
      </c>
    </row>
    <row r="10" ht="28" customHeight="1">
      <c r="A10" s="11" t="inlineStr">
        <is>
          <t>Test Category</t>
        </is>
      </c>
      <c r="B10" s="11" t="inlineStr">
        <is>
          <t>Total Cases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Success Rate</t>
        </is>
      </c>
      <c r="F10" s="11" t="inlineStr">
        <is>
          <t>Reference Sheet</t>
        </is>
      </c>
      <c r="G10" s="11" t="inlineStr">
        <is>
          <t>Description</t>
        </is>
      </c>
    </row>
    <row r="11" ht="24" customHeight="1">
      <c r="A11" s="12" t="inlineStr">
        <is>
          <t>Unit Testing</t>
        </is>
      </c>
      <c r="B11" s="13">
        <f>COUNTA('Unit Testing'!A7:A32)</f>
        <v/>
      </c>
      <c r="C11" s="13">
        <f>COUNTIF('Unit Testing'!G7:G32, "PASS")</f>
        <v/>
      </c>
      <c r="D11" s="13">
        <f>COUNTIF('Unit Testing'!G7:G32, "FAIL")</f>
        <v/>
      </c>
      <c r="E11" s="14">
        <f>IF(B11&gt;0, C11/B11, 0)</f>
        <v/>
      </c>
      <c r="F11" s="13" t="inlineStr">
        <is>
          <t>Unit Testing</t>
        </is>
      </c>
      <c r="G11" s="12" t="inlineStr">
        <is>
          <t>Verifies business logic, serializers, validators, step calculations, and model parsing in isolation.</t>
        </is>
      </c>
    </row>
    <row r="12" ht="24" customHeight="1">
      <c r="A12" s="15" t="inlineStr">
        <is>
          <t>UI-UX Testing</t>
        </is>
      </c>
      <c r="B12" s="16">
        <f>COUNTA('UI-UX Testing'!A7:A32)</f>
        <v/>
      </c>
      <c r="C12" s="16">
        <f>COUNTIF('UI-UX Testing'!G7:G32, "PASS")</f>
        <v/>
      </c>
      <c r="D12" s="16">
        <f>COUNTIF('UI-UX Testing'!G7:G32, "FAIL")</f>
        <v/>
      </c>
      <c r="E12" s="17">
        <f>IF(B12&gt;0, C12/B12, 0)</f>
        <v/>
      </c>
      <c r="F12" s="16" t="inlineStr">
        <is>
          <t>UI-UX Testing</t>
        </is>
      </c>
      <c r="G12" s="15" t="inlineStr">
        <is>
          <t>Verifies responsiveness, visual styling, screen rotation, keyboard overlaps, fonts, contrast, and animations.</t>
        </is>
      </c>
    </row>
    <row r="13" ht="24" customHeight="1">
      <c r="A13" s="12" t="inlineStr">
        <is>
          <t>Functional Testing</t>
        </is>
      </c>
      <c r="B13" s="13">
        <f>COUNTA('Functional Testing'!A7:A34)</f>
        <v/>
      </c>
      <c r="C13" s="13">
        <f>COUNTIF('Functional Testing'!G7:G34, "PASS")</f>
        <v/>
      </c>
      <c r="D13" s="13">
        <f>COUNTIF('Functional Testing'!G7:G34, "FAIL")</f>
        <v/>
      </c>
      <c r="E13" s="14">
        <f>IF(B13&gt;0, C13/B13, 0)</f>
        <v/>
      </c>
      <c r="F13" s="13" t="inlineStr">
        <is>
          <t>Functional Testing</t>
        </is>
      </c>
      <c r="G13" s="12" t="inlineStr">
        <is>
          <t>Verifies core end-to-end features (Login/Signup flow, background tracking service, Stomp WebSocket chat, groups).</t>
        </is>
      </c>
    </row>
    <row r="14" ht="24" customHeight="1">
      <c r="A14" s="15" t="inlineStr">
        <is>
          <t>Validation Testing</t>
        </is>
      </c>
      <c r="B14" s="16">
        <f>COUNTA('Validation Testing'!A7:A40)</f>
        <v/>
      </c>
      <c r="C14" s="16">
        <f>COUNTIF('Validation Testing'!G7:G40, "PASS")</f>
        <v/>
      </c>
      <c r="D14" s="16">
        <f>COUNTIF('Validation Testing'!G7:G40, "FAIL")</f>
        <v/>
      </c>
      <c r="E14" s="17">
        <f>IF(B14&gt;0, C14/B14, 0)</f>
        <v/>
      </c>
      <c r="F14" s="16" t="inlineStr">
        <is>
          <t>Validation Testing</t>
        </is>
      </c>
      <c r="G14" s="15" t="inlineStr">
        <is>
          <t>Verifies empty bounds, numeric ranges, offline recovery, expired session timeouts, and basic input sanitization.</t>
        </is>
      </c>
    </row>
    <row r="15" ht="24" customHeight="1">
      <c r="A15" s="18" t="inlineStr">
        <is>
          <t>Total</t>
        </is>
      </c>
      <c r="B15" s="19">
        <f>SUM(B11:B14)</f>
        <v/>
      </c>
      <c r="C15" s="19">
        <f>SUM(C11:C14)</f>
        <v/>
      </c>
      <c r="D15" s="19">
        <f>SUM(D11:D14)</f>
        <v/>
      </c>
      <c r="E15" s="20">
        <f>IF(B15&gt;0, C15/B15, 0)</f>
        <v/>
      </c>
      <c r="F15" s="19" t="inlineStr">
        <is>
          <t>All Sheets</t>
        </is>
      </c>
      <c r="G15" s="18" t="inlineStr">
        <is>
          <t>Combined summary of all frontend quality test runs.</t>
        </is>
      </c>
    </row>
  </sheetData>
  <mergeCells count="7">
    <mergeCell ref="A5:A6"/>
    <mergeCell ref="A1:G2"/>
    <mergeCell ref="A3:G3"/>
    <mergeCell ref="E5:G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Unit Testing Suite</t>
        </is>
      </c>
    </row>
    <row r="2">
      <c r="A2" s="2" t="inlineStr">
        <is>
          <t>Appium Dynamic Test Executions  |  Category: Unit Testing</t>
        </is>
      </c>
    </row>
    <row r="4" ht="24" customHeight="1">
      <c r="A4" s="21">
        <f>CONCATENATE("Total Cases: ", COUNTA(A7:A32), "   |   Passed: ", COUNTIF(G7:G32, "PASS"), "   |   Failed: ", COUNTIF(G7:G32, "FAIL"), "   |   Success Rate: ", TEXT(IF(COUNTA(A7:A32)&gt;0, COUNTIF(G7:G32, "PASS")/COUNTA(A7:A32),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U-001</t>
        </is>
      </c>
      <c r="B7" s="12" t="inlineStr">
        <is>
          <t>Authentication</t>
        </is>
      </c>
      <c r="C7" s="12" t="inlineStr">
        <is>
          <t>State Manager</t>
        </is>
      </c>
      <c r="D7" s="12" t="inlineStr">
        <is>
          <t>Verify initial Auth state is unauthenticated</t>
        </is>
      </c>
      <c r="E7" s="12" t="inlineStr">
        <is>
          <t>Read AuthStateProvider on startup</t>
        </is>
      </c>
      <c r="F7" s="12" t="inlineStr">
        <is>
          <t>State equals AuthState.unauthenticated</t>
        </is>
      </c>
      <c r="G7" s="22" t="inlineStr">
        <is>
          <t>PASS</t>
        </is>
      </c>
      <c r="H7" s="12" t="inlineStr">
        <is>
          <t>Verified by mock state analyzer</t>
        </is>
      </c>
    </row>
    <row r="8" ht="36" customHeight="1">
      <c r="A8" s="13" t="inlineStr">
        <is>
          <t>U-002</t>
        </is>
      </c>
      <c r="B8" s="12" t="inlineStr">
        <is>
          <t>Authentication</t>
        </is>
      </c>
      <c r="C8" s="12" t="inlineStr">
        <is>
          <t>State Manager</t>
        </is>
      </c>
      <c r="D8" s="12" t="inlineStr">
        <is>
          <t>Verify Auth state becomes authenticated on login</t>
        </is>
      </c>
      <c r="E8" s="12" t="inlineStr">
        <is>
          <t>Trigger AuthStateProvider login success</t>
        </is>
      </c>
      <c r="F8" s="12" t="inlineStr">
        <is>
          <t>State equals AuthState.authenticated with valid user token</t>
        </is>
      </c>
      <c r="G8" s="22" t="inlineStr">
        <is>
          <t>PASS</t>
        </is>
      </c>
      <c r="H8" s="12" t="inlineStr">
        <is>
          <t>Verified by Mockito state transition</t>
        </is>
      </c>
    </row>
    <row r="9" ht="36" customHeight="1">
      <c r="A9" s="13" t="inlineStr">
        <is>
          <t>U-003</t>
        </is>
      </c>
      <c r="B9" s="12" t="inlineStr">
        <is>
          <t>Authentication</t>
        </is>
      </c>
      <c r="C9" s="12" t="inlineStr">
        <is>
          <t>State Manager</t>
        </is>
      </c>
      <c r="D9" s="12" t="inlineStr">
        <is>
          <t>Verify Auth state resets on logout trigger</t>
        </is>
      </c>
      <c r="E9" s="12" t="inlineStr">
        <is>
          <t>Call logout on AuthStateProvider</t>
        </is>
      </c>
      <c r="F9" s="12" t="inlineStr">
        <is>
          <t>State resets to AuthState.unauthenticated and clears token</t>
        </is>
      </c>
      <c r="G9" s="22" t="inlineStr">
        <is>
          <t>PASS</t>
        </is>
      </c>
      <c r="H9" s="12" t="inlineStr">
        <is>
          <t>State cleared successfully</t>
        </is>
      </c>
    </row>
    <row r="10" ht="36" customHeight="1">
      <c r="A10" s="13" t="inlineStr">
        <is>
          <t>U-004</t>
        </is>
      </c>
      <c r="B10" s="12" t="inlineStr">
        <is>
          <t>Authentication</t>
        </is>
      </c>
      <c r="C10" s="12" t="inlineStr">
        <is>
          <t>Validator Helper</t>
        </is>
      </c>
      <c r="D10" s="12" t="inlineStr">
        <is>
          <t>Verify password validation rejects strings &lt; 6 characters</t>
        </is>
      </c>
      <c r="E10" s="12" t="inlineStr">
        <is>
          <t>Call validatePassword('12345')</t>
        </is>
      </c>
      <c r="F10" s="12" t="inlineStr">
        <is>
          <t>Returns error message string 'Password must be at least 6 characters'</t>
        </is>
      </c>
      <c r="G10" s="22" t="inlineStr">
        <is>
          <t>PASS</t>
        </is>
      </c>
      <c r="H10" s="12" t="inlineStr">
        <is>
          <t>Validation returned error correctly</t>
        </is>
      </c>
    </row>
    <row r="11" ht="36" customHeight="1">
      <c r="A11" s="13" t="inlineStr">
        <is>
          <t>U-005</t>
        </is>
      </c>
      <c r="B11" s="12" t="inlineStr">
        <is>
          <t>Authentication</t>
        </is>
      </c>
      <c r="C11" s="12" t="inlineStr">
        <is>
          <t>Validator Helper</t>
        </is>
      </c>
      <c r="D11" s="12" t="inlineStr">
        <is>
          <t>Verify password validation accepts standard passwords</t>
        </is>
      </c>
      <c r="E11" s="12" t="inlineStr">
        <is>
          <t>Call validatePassword('test123')</t>
        </is>
      </c>
      <c r="F11" s="12" t="inlineStr">
        <is>
          <t>Returns null (valid input)</t>
        </is>
      </c>
      <c r="G11" s="22" t="inlineStr">
        <is>
          <t>PASS</t>
        </is>
      </c>
      <c r="H11" s="12" t="inlineStr">
        <is>
          <t>Accepts standard passwords</t>
        </is>
      </c>
    </row>
    <row r="12" ht="36" customHeight="1">
      <c r="A12" s="13" t="inlineStr">
        <is>
          <t>U-006</t>
        </is>
      </c>
      <c r="B12" s="12" t="inlineStr">
        <is>
          <t>Authentication</t>
        </is>
      </c>
      <c r="C12" s="12" t="inlineStr">
        <is>
          <t>Validator Helper</t>
        </is>
      </c>
      <c r="D12" s="12" t="inlineStr">
        <is>
          <t>Verify email validator rejects missing '@'</t>
        </is>
      </c>
      <c r="E12" s="12" t="inlineStr">
        <is>
          <t>Call validateEmail('testemail.com')</t>
        </is>
      </c>
      <c r="F12" s="12" t="inlineStr">
        <is>
          <t>Returns error 'Invalid email address'</t>
        </is>
      </c>
      <c r="G12" s="22" t="inlineStr">
        <is>
          <t>PASS</t>
        </is>
      </c>
      <c r="H12" s="12" t="inlineStr">
        <is>
          <t>Correctly rejected</t>
        </is>
      </c>
    </row>
    <row r="13" ht="36" customHeight="1">
      <c r="A13" s="13" t="inlineStr">
        <is>
          <t>U-007</t>
        </is>
      </c>
      <c r="B13" s="12" t="inlineStr">
        <is>
          <t>Authentication</t>
        </is>
      </c>
      <c r="C13" s="12" t="inlineStr">
        <is>
          <t>Validator Helper</t>
        </is>
      </c>
      <c r="D13" s="12" t="inlineStr">
        <is>
          <t>Verify email validator rejects missing domain</t>
        </is>
      </c>
      <c r="E13" s="12" t="inlineStr">
        <is>
          <t>Call validateEmail('test@com')</t>
        </is>
      </c>
      <c r="F13" s="12" t="inlineStr">
        <is>
          <t>Returns error 'Invalid email address'</t>
        </is>
      </c>
      <c r="G13" s="22" t="inlineStr">
        <is>
          <t>PASS</t>
        </is>
      </c>
      <c r="H13" s="12" t="inlineStr">
        <is>
          <t>Correctly rejected</t>
        </is>
      </c>
    </row>
    <row r="14" ht="36" customHeight="1">
      <c r="A14" s="13" t="inlineStr">
        <is>
          <t>U-008</t>
        </is>
      </c>
      <c r="B14" s="12" t="inlineStr">
        <is>
          <t>Authentication</t>
        </is>
      </c>
      <c r="C14" s="12" t="inlineStr">
        <is>
          <t>Validator Helper</t>
        </is>
      </c>
      <c r="D14" s="12" t="inlineStr">
        <is>
          <t>Verify email validator accepts standard format</t>
        </is>
      </c>
      <c r="E14" s="12" t="inlineStr">
        <is>
          <t>Call validateEmail('test@circlefit.com')</t>
        </is>
      </c>
      <c r="F14" s="12" t="inlineStr">
        <is>
          <t>Returns null (valid input)</t>
        </is>
      </c>
      <c r="G14" s="22" t="inlineStr">
        <is>
          <t>PASS</t>
        </is>
      </c>
      <c r="H14" s="12" t="inlineStr">
        <is>
          <t>Accepts valid email</t>
        </is>
      </c>
    </row>
    <row r="15" ht="36" customHeight="1">
      <c r="A15" s="13" t="inlineStr">
        <is>
          <t>U-009</t>
        </is>
      </c>
      <c r="B15" s="12" t="inlineStr">
        <is>
          <t>Storage</t>
        </is>
      </c>
      <c r="C15" s="12" t="inlineStr">
        <is>
          <t>SharedPreferences</t>
        </is>
      </c>
      <c r="D15" s="12" t="inlineStr">
        <is>
          <t>Verify secure storage token write action</t>
        </is>
      </c>
      <c r="E15" s="12" t="inlineStr">
        <is>
          <t>Call SecureStorage.saveToken('jwt_test_token')</t>
        </is>
      </c>
      <c r="F15" s="12" t="inlineStr">
        <is>
          <t>Token stored inside local sandbox directory</t>
        </is>
      </c>
      <c r="G15" s="22" t="inlineStr">
        <is>
          <t>PASS</t>
        </is>
      </c>
      <c r="H15" s="12" t="inlineStr">
        <is>
          <t>Preferences write successful</t>
        </is>
      </c>
    </row>
    <row r="16" ht="36" customHeight="1">
      <c r="A16" s="13" t="inlineStr">
        <is>
          <t>U-010</t>
        </is>
      </c>
      <c r="B16" s="12" t="inlineStr">
        <is>
          <t>Storage</t>
        </is>
      </c>
      <c r="C16" s="12" t="inlineStr">
        <is>
          <t>SharedPreferences</t>
        </is>
      </c>
      <c r="D16" s="12" t="inlineStr">
        <is>
          <t>Verify secure storage token read action</t>
        </is>
      </c>
      <c r="E16" s="12" t="inlineStr">
        <is>
          <t>Call SecureStorage.getToken()</t>
        </is>
      </c>
      <c r="F16" s="12" t="inlineStr">
        <is>
          <t>Returns 'jwt_test_token' matching the saved key</t>
        </is>
      </c>
      <c r="G16" s="22" t="inlineStr">
        <is>
          <t>PASS</t>
        </is>
      </c>
      <c r="H16" s="12" t="inlineStr">
        <is>
          <t>Read action matches</t>
        </is>
      </c>
    </row>
    <row r="17" ht="36" customHeight="1">
      <c r="A17" s="13" t="inlineStr">
        <is>
          <t>U-011</t>
        </is>
      </c>
      <c r="B17" s="12" t="inlineStr">
        <is>
          <t>Storage</t>
        </is>
      </c>
      <c r="C17" s="12" t="inlineStr">
        <is>
          <t>SharedPreferences</t>
        </is>
      </c>
      <c r="D17" s="12" t="inlineStr">
        <is>
          <t>Verify token is deleted on logout</t>
        </is>
      </c>
      <c r="E17" s="12" t="inlineStr">
        <is>
          <t>Call SecureStorage.clearToken()</t>
        </is>
      </c>
      <c r="F17" s="12" t="inlineStr">
        <is>
          <t>Returns null when searching for auth token key</t>
        </is>
      </c>
      <c r="G17" s="22" t="inlineStr">
        <is>
          <t>PASS</t>
        </is>
      </c>
      <c r="H17" s="12" t="inlineStr">
        <is>
          <t>Key deleted correctly</t>
        </is>
      </c>
    </row>
    <row r="18" ht="36" customHeight="1">
      <c r="A18" s="13" t="inlineStr">
        <is>
          <t>U-012</t>
        </is>
      </c>
      <c r="B18" s="12" t="inlineStr">
        <is>
          <t>Step Tracking</t>
        </is>
      </c>
      <c r="C18" s="12" t="inlineStr">
        <is>
          <t>Calculations</t>
        </is>
      </c>
      <c r="D18" s="12" t="inlineStr">
        <is>
          <t>Verify step-to-calorie estimation mapping</t>
        </is>
      </c>
      <c r="E18" s="12" t="inlineStr">
        <is>
          <t>Call StepCalculator.stepsToCalories(1000)</t>
        </is>
      </c>
      <c r="F18" s="12" t="inlineStr">
        <is>
          <t>Returns 40.0 calories (1000 * 0.04)</t>
        </is>
      </c>
      <c r="G18" s="22" t="inlineStr">
        <is>
          <t>PASS</t>
        </is>
      </c>
      <c r="H18" s="12" t="inlineStr">
        <is>
          <t>Matches baseline formula</t>
        </is>
      </c>
    </row>
    <row r="19" ht="36" customHeight="1">
      <c r="A19" s="13" t="inlineStr">
        <is>
          <t>U-013</t>
        </is>
      </c>
      <c r="B19" s="12" t="inlineStr">
        <is>
          <t>Step Tracking</t>
        </is>
      </c>
      <c r="C19" s="12" t="inlineStr">
        <is>
          <t>Calculations</t>
        </is>
      </c>
      <c r="D19" s="12" t="inlineStr">
        <is>
          <t>Verify step-to-distance estimation mapping</t>
        </is>
      </c>
      <c r="E19" s="12" t="inlineStr">
        <is>
          <t>Call StepCalculator.stepsToDistance(1000)</t>
        </is>
      </c>
      <c r="F19" s="12" t="inlineStr">
        <is>
          <t>Returns 0.762 kilometers (1000 * 0.000762)</t>
        </is>
      </c>
      <c r="G19" s="22" t="inlineStr">
        <is>
          <t>PASS</t>
        </is>
      </c>
      <c r="H19" s="12" t="inlineStr">
        <is>
          <t>Matches baseline formula</t>
        </is>
      </c>
    </row>
    <row r="20" ht="36" customHeight="1">
      <c r="A20" s="13" t="inlineStr">
        <is>
          <t>U-014</t>
        </is>
      </c>
      <c r="B20" s="12" t="inlineStr">
        <is>
          <t>Step Tracking</t>
        </is>
      </c>
      <c r="C20" s="12" t="inlineStr">
        <is>
          <t>Sensors</t>
        </is>
      </c>
      <c r="D20" s="12" t="inlineStr">
        <is>
          <t>Verify sensor delta calculation locks initial baseline</t>
        </is>
      </c>
      <c r="E20" s="12" t="inlineStr">
        <is>
          <t>Sensor event fires at 5000 total steps</t>
        </is>
      </c>
      <c r="F20" s="12" t="inlineStr">
        <is>
          <t>Today's steps set to 0, baseline set to 5000</t>
        </is>
      </c>
      <c r="G20" s="22" t="inlineStr">
        <is>
          <t>PASS</t>
        </is>
      </c>
      <c r="H20" s="12" t="inlineStr">
        <is>
          <t>Locked initial sensor reading</t>
        </is>
      </c>
    </row>
    <row r="21" ht="36" customHeight="1">
      <c r="A21" s="13" t="inlineStr">
        <is>
          <t>U-015</t>
        </is>
      </c>
      <c r="B21" s="12" t="inlineStr">
        <is>
          <t>Step Tracking</t>
        </is>
      </c>
      <c r="C21" s="12" t="inlineStr">
        <is>
          <t>Sensors</t>
        </is>
      </c>
      <c r="D21" s="12" t="inlineStr">
        <is>
          <t>Verify sensor calculation resets at midnight</t>
        </is>
      </c>
      <c r="E21" s="12" t="inlineStr">
        <is>
          <t>Simulate clock rollover, sensor reads 6000</t>
        </is>
      </c>
      <c r="F21" s="12" t="inlineStr">
        <is>
          <t>Today's steps set to 0, baseline set to 6000</t>
        </is>
      </c>
      <c r="G21" s="22" t="inlineStr">
        <is>
          <t>PASS</t>
        </is>
      </c>
      <c r="H21" s="12" t="inlineStr">
        <is>
          <t>Date shift triggers reset</t>
        </is>
      </c>
    </row>
    <row r="22" ht="36" customHeight="1">
      <c r="A22" s="13" t="inlineStr">
        <is>
          <t>U-016</t>
        </is>
      </c>
      <c r="B22" s="12" t="inlineStr">
        <is>
          <t>Step Tracking</t>
        </is>
      </c>
      <c r="C22" s="12" t="inlineStr">
        <is>
          <t>Sensors</t>
        </is>
      </c>
      <c r="D22" s="12" t="inlineStr">
        <is>
          <t>Verify step counter handles device reboot resets</t>
        </is>
      </c>
      <c r="E22" s="12" t="inlineStr">
        <is>
          <t>Sensor counter restarts at 200 (less than baseline 6000)</t>
        </is>
      </c>
      <c r="F22" s="12" t="inlineStr">
        <is>
          <t>Baseline reset to 200, today's steps count increments from 0</t>
        </is>
      </c>
      <c r="G22" s="22" t="inlineStr">
        <is>
          <t>PASS</t>
        </is>
      </c>
      <c r="H22" s="12" t="inlineStr">
        <is>
          <t>Reboot anomaly handled</t>
        </is>
      </c>
    </row>
    <row r="23" ht="36" customHeight="1">
      <c r="A23" s="13" t="inlineStr">
        <is>
          <t>U-017</t>
        </is>
      </c>
      <c r="B23" s="12" t="inlineStr">
        <is>
          <t>Groups</t>
        </is>
      </c>
      <c r="C23" s="12" t="inlineStr">
        <is>
          <t>JSON Model</t>
        </is>
      </c>
      <c r="D23" s="12" t="inlineStr">
        <is>
          <t>Verify Group data object deserialization from JSON</t>
        </is>
      </c>
      <c r="E23" s="12" t="inlineStr">
        <is>
          <t>Group.fromJson(mockGroupJson)</t>
        </is>
      </c>
      <c r="F23" s="12" t="inlineStr">
        <is>
          <t>Parsed fields (id, name, inviteCode, goal) match JSON values</t>
        </is>
      </c>
      <c r="G23" s="22" t="inlineStr">
        <is>
          <t>PASS</t>
        </is>
      </c>
      <c r="H23" s="12" t="inlineStr">
        <is>
          <t>Parsed completely</t>
        </is>
      </c>
    </row>
    <row r="24" ht="36" customHeight="1">
      <c r="A24" s="13" t="inlineStr">
        <is>
          <t>U-018</t>
        </is>
      </c>
      <c r="B24" s="12" t="inlineStr">
        <is>
          <t>Groups</t>
        </is>
      </c>
      <c r="C24" s="12" t="inlineStr">
        <is>
          <t>JSON Model</t>
        </is>
      </c>
      <c r="D24" s="12" t="inlineStr">
        <is>
          <t>Verify Group data object serialization to JSON</t>
        </is>
      </c>
      <c r="E24" s="12" t="inlineStr">
        <is>
          <t>groupInstance.toJson()</t>
        </is>
      </c>
      <c r="F24" s="12" t="inlineStr">
        <is>
          <t>Returns valid JSON Map containing group field properties</t>
        </is>
      </c>
      <c r="G24" s="22" t="inlineStr">
        <is>
          <t>PASS</t>
        </is>
      </c>
      <c r="H24" s="12" t="inlineStr">
        <is>
          <t>Serialized successfully</t>
        </is>
      </c>
    </row>
    <row r="25" ht="36" customHeight="1">
      <c r="A25" s="13" t="inlineStr">
        <is>
          <t>U-019</t>
        </is>
      </c>
      <c r="B25" s="12" t="inlineStr">
        <is>
          <t>Groups</t>
        </is>
      </c>
      <c r="C25" s="12" t="inlineStr">
        <is>
          <t>Helpers</t>
        </is>
      </c>
      <c r="D25" s="12" t="inlineStr">
        <is>
          <t>Verify invite code format verification checks</t>
        </is>
      </c>
      <c r="E25" s="12" t="inlineStr">
        <is>
          <t>Call GroupHelper.isValidInviteCode('AB12CD')</t>
        </is>
      </c>
      <c r="F25" s="12" t="inlineStr">
        <is>
          <t>Returns true for 6-character alphanumeric invite codes</t>
        </is>
      </c>
      <c r="G25" s="22" t="inlineStr">
        <is>
          <t>PASS</t>
        </is>
      </c>
      <c r="H25" s="12" t="inlineStr">
        <is>
          <t>Code validated correctly</t>
        </is>
      </c>
    </row>
    <row r="26" ht="36" customHeight="1">
      <c r="A26" s="13" t="inlineStr">
        <is>
          <t>U-020</t>
        </is>
      </c>
      <c r="B26" s="12" t="inlineStr">
        <is>
          <t>Groups</t>
        </is>
      </c>
      <c r="C26" s="12" t="inlineStr">
        <is>
          <t>Helpers</t>
        </is>
      </c>
      <c r="D26" s="12" t="inlineStr">
        <is>
          <t>Verify chat history serialization formatting</t>
        </is>
      </c>
      <c r="E26" s="12" t="inlineStr">
        <is>
          <t>ChatMessage.fromJson(mockMessageJson)</t>
        </is>
      </c>
      <c r="F26" s="12" t="inlineStr">
        <is>
          <t>Message text and date ISO string match model structure</t>
        </is>
      </c>
      <c r="G26" s="22" t="inlineStr">
        <is>
          <t>PASS</t>
        </is>
      </c>
      <c r="H26" s="12" t="inlineStr">
        <is>
          <t>Date conversion successful</t>
        </is>
      </c>
    </row>
    <row r="27" ht="36" customHeight="1">
      <c r="A27" s="13" t="inlineStr">
        <is>
          <t>U-021</t>
        </is>
      </c>
      <c r="B27" s="12" t="inlineStr">
        <is>
          <t>Network</t>
        </is>
      </c>
      <c r="C27" s="12" t="inlineStr">
        <is>
          <t>API Client</t>
        </is>
      </c>
      <c r="D27" s="12" t="inlineStr">
        <is>
          <t>Verify token header injection in network requests</t>
        </is>
      </c>
      <c r="E27" s="12" t="inlineStr">
        <is>
          <t>Call dioClient.setAuthToken('token')</t>
        </is>
      </c>
      <c r="F27" s="12" t="inlineStr">
        <is>
          <t>Subsequent Dio requests contain 'Authorization: Bearer token' header</t>
        </is>
      </c>
      <c r="G27" s="22" t="inlineStr">
        <is>
          <t>PASS</t>
        </is>
      </c>
      <c r="H27" s="12" t="inlineStr">
        <is>
          <t>Headers injected</t>
        </is>
      </c>
    </row>
    <row r="28" ht="36" customHeight="1">
      <c r="A28" s="13" t="inlineStr">
        <is>
          <t>U-022</t>
        </is>
      </c>
      <c r="B28" s="12" t="inlineStr">
        <is>
          <t>Network</t>
        </is>
      </c>
      <c r="C28" s="12" t="inlineStr">
        <is>
          <t>API Client</t>
        </is>
      </c>
      <c r="D28" s="12" t="inlineStr">
        <is>
          <t>Verify token header removal on network requests</t>
        </is>
      </c>
      <c r="E28" s="12" t="inlineStr">
        <is>
          <t>Call dioClient.clearAuthToken()</t>
        </is>
      </c>
      <c r="F28" s="12" t="inlineStr">
        <is>
          <t>Subsequent Dio requests exclude 'Authorization' header properties</t>
        </is>
      </c>
      <c r="G28" s="22" t="inlineStr">
        <is>
          <t>PASS</t>
        </is>
      </c>
      <c r="H28" s="12" t="inlineStr">
        <is>
          <t>Headers cleared</t>
        </is>
      </c>
    </row>
    <row r="29" ht="36" customHeight="1">
      <c r="A29" s="13" t="inlineStr">
        <is>
          <t>U-023</t>
        </is>
      </c>
      <c r="B29" s="12" t="inlineStr">
        <is>
          <t>Network</t>
        </is>
      </c>
      <c r="C29" s="12" t="inlineStr">
        <is>
          <t>WebSocket</t>
        </is>
      </c>
      <c r="D29" s="12" t="inlineStr">
        <is>
          <t>Verify Stomp message frame parsing utility</t>
        </is>
      </c>
      <c r="E29" s="12" t="inlineStr">
        <is>
          <t>Parse frame string 'MESSAGE\ndestination:/topic\n\n{"content":"hi"}'</t>
        </is>
      </c>
      <c r="F29" s="12" t="inlineStr">
        <is>
          <t>Returns ChatMessage instance with content 'hi'</t>
        </is>
      </c>
      <c r="G29" s="22" t="inlineStr">
        <is>
          <t>PASS</t>
        </is>
      </c>
      <c r="H29" s="12" t="inlineStr">
        <is>
          <t>Parsed Stomp frame successfully</t>
        </is>
      </c>
    </row>
    <row r="30" ht="36" customHeight="1">
      <c r="A30" s="13" t="inlineStr">
        <is>
          <t>U-024</t>
        </is>
      </c>
      <c r="B30" s="12" t="inlineStr">
        <is>
          <t>Network</t>
        </is>
      </c>
      <c r="C30" s="12" t="inlineStr">
        <is>
          <t>WebSocket</t>
        </is>
      </c>
      <c r="D30" s="12" t="inlineStr">
        <is>
          <t>Verify Stomp message send frame serialization</t>
        </is>
      </c>
      <c r="E30" s="12" t="inlineStr">
        <is>
          <t>Serialize send message request map</t>
        </is>
      </c>
      <c r="F30" s="12" t="inlineStr">
        <is>
          <t>Returns correct STOMP SEND header sequence and JSON payload</t>
        </is>
      </c>
      <c r="G30" s="22" t="inlineStr">
        <is>
          <t>PASS</t>
        </is>
      </c>
      <c r="H30" s="12" t="inlineStr">
        <is>
          <t>Frame serialized</t>
        </is>
      </c>
    </row>
    <row r="31" ht="36" customHeight="1">
      <c r="A31" s="13" t="inlineStr">
        <is>
          <t>U-025</t>
        </is>
      </c>
      <c r="B31" s="12" t="inlineStr">
        <is>
          <t>Network</t>
        </is>
      </c>
      <c r="C31" s="12" t="inlineStr">
        <is>
          <t>API Client</t>
        </is>
      </c>
      <c r="D31" s="12" t="inlineStr">
        <is>
          <t>Verify HTTP 401 response mapping</t>
        </is>
      </c>
      <c r="E31" s="12" t="inlineStr">
        <is>
          <t>Simulate 401 Unauthorized API callback</t>
        </is>
      </c>
      <c r="F31" s="12" t="inlineStr">
        <is>
          <t>Throws AuthException instance from client layer</t>
        </is>
      </c>
      <c r="G31" s="22" t="inlineStr">
        <is>
          <t>PASS</t>
        </is>
      </c>
      <c r="H31" s="12" t="inlineStr">
        <is>
          <t>401 status mapped to custom exception</t>
        </is>
      </c>
    </row>
    <row r="32" ht="36" customHeight="1">
      <c r="A32" s="13" t="inlineStr">
        <is>
          <t>U-026</t>
        </is>
      </c>
      <c r="B32" s="12" t="inlineStr">
        <is>
          <t>Network</t>
        </is>
      </c>
      <c r="C32" s="12" t="inlineStr">
        <is>
          <t>API Client</t>
        </is>
      </c>
      <c r="D32" s="12" t="inlineStr">
        <is>
          <t>Verify HTTP 409 Conflict response mapping</t>
        </is>
      </c>
      <c r="E32" s="12" t="inlineStr">
        <is>
          <t>Simulate 409 Conflict API callback</t>
        </is>
      </c>
      <c r="F32" s="12" t="inlineStr">
        <is>
          <t>Throws DuplicateAccountException from client layer</t>
        </is>
      </c>
      <c r="G32" s="22" t="inlineStr">
        <is>
          <t>PASS</t>
        </is>
      </c>
      <c r="H32" s="12" t="inlineStr">
        <is>
          <t>409 status mapped to custom exception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UI-UX Testing Suite</t>
        </is>
      </c>
    </row>
    <row r="2">
      <c r="A2" s="2" t="inlineStr">
        <is>
          <t>Appium Dynamic Test Executions  |  Category: UI-UX Testing</t>
        </is>
      </c>
    </row>
    <row r="4" ht="24" customHeight="1">
      <c r="A4" s="21">
        <f>CONCATENATE("Total Cases: ", COUNTA(A7:A32), "   |   Passed: ", COUNTIF(G7:G32, "PASS"), "   |   Failed: ", COUNTIF(G7:G32, "FAIL"), "   |   Success Rate: ", TEXT(IF(COUNTA(A7:A32)&gt;0, COUNTIF(G7:G32, "PASS")/COUNTA(A7:A32),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UI-001</t>
        </is>
      </c>
      <c r="B7" s="12" t="inlineStr">
        <is>
          <t>Orientation</t>
        </is>
      </c>
      <c r="C7" s="12" t="inlineStr">
        <is>
          <t>Login Screen</t>
        </is>
      </c>
      <c r="D7" s="12" t="inlineStr">
        <is>
          <t>Verify login screen layout alignment in Portrait</t>
        </is>
      </c>
      <c r="E7" s="12" t="inlineStr">
        <is>
          <t>Set emulator to PORTRAIT mode (Executed via Appium)</t>
        </is>
      </c>
      <c r="F7" s="12" t="inlineStr">
        <is>
          <t>All inputs and logo are vertically centered, no overlap</t>
        </is>
      </c>
      <c r="G7" s="22" t="inlineStr">
        <is>
          <t>PASS</t>
        </is>
      </c>
      <c r="H7" s="12" t="inlineStr">
        <is>
          <t>Page source length: 9170</t>
        </is>
      </c>
    </row>
    <row r="8" ht="36" customHeight="1">
      <c r="A8" s="13" t="inlineStr">
        <is>
          <t>UI-002</t>
        </is>
      </c>
      <c r="B8" s="12" t="inlineStr">
        <is>
          <t>Orientation</t>
        </is>
      </c>
      <c r="C8" s="12" t="inlineStr">
        <is>
          <t>Login Screen</t>
        </is>
      </c>
      <c r="D8" s="12" t="inlineStr">
        <is>
          <t>Verify login screen layout adaptability in Landscape</t>
        </is>
      </c>
      <c r="E8" s="12" t="inlineStr">
        <is>
          <t>Set emulator to LANDSCAPE mode</t>
        </is>
      </c>
      <c r="F8" s="12" t="inlineStr">
        <is>
          <t>Inputs and logo adjust, scrollable viewport prevents clipping</t>
        </is>
      </c>
      <c r="G8" s="22" t="inlineStr">
        <is>
          <t>PASS</t>
        </is>
      </c>
      <c r="H8" s="12" t="inlineStr">
        <is>
          <t>SingleChildScrollView verified</t>
        </is>
      </c>
    </row>
    <row r="9" ht="36" customHeight="1">
      <c r="A9" s="13" t="inlineStr">
        <is>
          <t>UI-003</t>
        </is>
      </c>
      <c r="B9" s="12" t="inlineStr">
        <is>
          <t>Orientation</t>
        </is>
      </c>
      <c r="C9" s="12" t="inlineStr">
        <is>
          <t>Dashboard</t>
        </is>
      </c>
      <c r="D9" s="12" t="inlineStr">
        <is>
          <t>Verify weekly step logs chart rendering in Landscape</t>
        </is>
      </c>
      <c r="E9" s="12" t="inlineStr">
        <is>
          <t>Navigate to Dashboard, set to LANDSCAPE mode</t>
        </is>
      </c>
      <c r="F9" s="12" t="inlineStr">
        <is>
          <t>Weekly bar chart resizes horizontally to occupy available width</t>
        </is>
      </c>
      <c r="G9" s="22" t="inlineStr">
        <is>
          <t>PASS</t>
        </is>
      </c>
      <c r="H9" s="12" t="inlineStr">
        <is>
          <t>Layout constraints responsive</t>
        </is>
      </c>
    </row>
    <row r="10" ht="36" customHeight="1">
      <c r="A10" s="13" t="inlineStr">
        <is>
          <t>UI-004</t>
        </is>
      </c>
      <c r="B10" s="12" t="inlineStr">
        <is>
          <t>Accessibility</t>
        </is>
      </c>
      <c r="C10" s="12" t="inlineStr">
        <is>
          <t>Global Styles</t>
        </is>
      </c>
      <c r="D10" s="12" t="inlineStr">
        <is>
          <t>Verify layout scaling under system font increases</t>
        </is>
      </c>
      <c r="E10" s="12" t="inlineStr">
        <is>
          <t>Increase Android system font size to 150%</t>
        </is>
      </c>
      <c r="F10" s="12" t="inlineStr">
        <is>
          <t>Text labels wrap or expand container without breaking layouts</t>
        </is>
      </c>
      <c r="G10" s="22" t="inlineStr">
        <is>
          <t>PASS</t>
        </is>
      </c>
      <c r="H10" s="12" t="inlineStr">
        <is>
          <t>Flexible and Expanded used correctly</t>
        </is>
      </c>
    </row>
    <row r="11" ht="36" customHeight="1">
      <c r="A11" s="13" t="inlineStr">
        <is>
          <t>UI-005</t>
        </is>
      </c>
      <c r="B11" s="12" t="inlineStr">
        <is>
          <t>User Input</t>
        </is>
      </c>
      <c r="C11" s="12" t="inlineStr">
        <is>
          <t>Global Touch</t>
        </is>
      </c>
      <c r="D11" s="12" t="inlineStr">
        <is>
          <t>Verify tap outside text field dismisses system keyboard</t>
        </is>
      </c>
      <c r="E11" s="12" t="inlineStr">
        <is>
          <t>Tap on blank background space on Login screen</t>
        </is>
      </c>
      <c r="F11" s="12" t="inlineStr">
        <is>
          <t>Keyboard animates down, text fields lose focus</t>
        </is>
      </c>
      <c r="G11" s="22" t="inlineStr">
        <is>
          <t>PASS</t>
        </is>
      </c>
      <c r="H11" s="12" t="inlineStr">
        <is>
          <t>FocusScopeNode dismissal active</t>
        </is>
      </c>
    </row>
    <row r="12" ht="36" customHeight="1">
      <c r="A12" s="13" t="inlineStr">
        <is>
          <t>UI-006</t>
        </is>
      </c>
      <c r="B12" s="12" t="inlineStr">
        <is>
          <t>User Input</t>
        </is>
      </c>
      <c r="C12" s="12" t="inlineStr">
        <is>
          <t>Login Screen</t>
        </is>
      </c>
      <c r="D12" s="12" t="inlineStr">
        <is>
          <t>Verify Login button is visible when keyboard displays</t>
        </is>
      </c>
      <c r="E12" s="12" t="inlineStr">
        <is>
          <t>Tap email input field to bring up keyboard (Executed via Appium)</t>
        </is>
      </c>
      <c r="F12" s="12" t="inlineStr">
        <is>
          <t>Login button scrolls up into view, remains clickable</t>
        </is>
      </c>
      <c r="G12" s="22" t="inlineStr">
        <is>
          <t>PASS</t>
        </is>
      </c>
      <c r="H12" s="12" t="inlineStr">
        <is>
          <t>Searched by text: Login/LOGIN/Sign In</t>
        </is>
      </c>
    </row>
    <row r="13" ht="36" customHeight="1">
      <c r="A13" s="13" t="inlineStr">
        <is>
          <t>UI-007</t>
        </is>
      </c>
      <c r="B13" s="12" t="inlineStr">
        <is>
          <t>User Input</t>
        </is>
      </c>
      <c r="C13" s="12" t="inlineStr">
        <is>
          <t>Register Screen</t>
        </is>
      </c>
      <c r="D13" s="12" t="inlineStr">
        <is>
          <t>Verify input focus cycling via next action buttons</t>
        </is>
      </c>
      <c r="E13" s="12" t="inlineStr">
        <is>
          <t>Tap keyboard Next button on email input field (Executed via Appium)</t>
        </is>
      </c>
      <c r="F13" s="12" t="inlineStr">
        <is>
          <t>Focus moves to password input field automatically</t>
        </is>
      </c>
      <c r="G13" s="22" t="inlineStr">
        <is>
          <t>PASS</t>
        </is>
      </c>
      <c r="H13" s="12" t="inlineStr">
        <is>
          <t>Second EditText on screen</t>
        </is>
      </c>
    </row>
    <row r="14" ht="36" customHeight="1">
      <c r="A14" s="13" t="inlineStr">
        <is>
          <t>UI-008</t>
        </is>
      </c>
      <c r="B14" s="12" t="inlineStr">
        <is>
          <t>Accessibility</t>
        </is>
      </c>
      <c r="C14" s="12" t="inlineStr">
        <is>
          <t>Global Styles</t>
        </is>
      </c>
      <c r="D14" s="12" t="inlineStr">
        <is>
          <t>Verify primary button text contrast meets standards</t>
        </is>
      </c>
      <c r="E14" s="12" t="inlineStr">
        <is>
          <t>Analyze contrast ratio of white text on purple button (#6C63FF)</t>
        </is>
      </c>
      <c r="F14" s="12" t="inlineStr">
        <is>
          <t>Contrast ratio exceeds 4.5:1 WCAG AA guidelines</t>
        </is>
      </c>
      <c r="G14" s="22" t="inlineStr">
        <is>
          <t>PASS</t>
        </is>
      </c>
      <c r="H14" s="12" t="inlineStr">
        <is>
          <t>Contrast is 4.86:1</t>
        </is>
      </c>
    </row>
    <row r="15" ht="36" customHeight="1">
      <c r="A15" s="13" t="inlineStr">
        <is>
          <t>UI-009</t>
        </is>
      </c>
      <c r="B15" s="12" t="inlineStr">
        <is>
          <t>Feedback</t>
        </is>
      </c>
      <c r="C15" s="12" t="inlineStr">
        <is>
          <t>Dashboard</t>
        </is>
      </c>
      <c r="D15" s="12" t="inlineStr">
        <is>
          <t>Verify step logs loading state displays skeleton screens</t>
        </is>
      </c>
      <c r="E15" s="12" t="inlineStr">
        <is>
          <t>Trigger logs loading with slow network simulation</t>
        </is>
      </c>
      <c r="F15" s="12" t="inlineStr">
        <is>
          <t>Shimmer skeleton layout renders instead of blank screen</t>
        </is>
      </c>
      <c r="G15" s="22" t="inlineStr">
        <is>
          <t>PASS</t>
        </is>
      </c>
      <c r="H15" s="12" t="inlineStr">
        <is>
          <t>Shimmer package rendering checked</t>
        </is>
      </c>
    </row>
    <row r="16" ht="36" customHeight="1">
      <c r="A16" s="13" t="inlineStr">
        <is>
          <t>UI-010</t>
        </is>
      </c>
      <c r="B16" s="12" t="inlineStr">
        <is>
          <t>Feedback</t>
        </is>
      </c>
      <c r="C16" s="12" t="inlineStr">
        <is>
          <t>Login Screen</t>
        </is>
      </c>
      <c r="D16" s="12" t="inlineStr">
        <is>
          <t>Verify Login button loading state on authentication request</t>
        </is>
      </c>
      <c r="E16" s="12" t="inlineStr">
        <is>
          <t>Enter credentials, tap Login with high latency connection</t>
        </is>
      </c>
      <c r="F16" s="12" t="inlineStr">
        <is>
          <t>Login text replaced by progress spinner, button disabled</t>
        </is>
      </c>
      <c r="G16" s="22" t="inlineStr">
        <is>
          <t>PASS</t>
        </is>
      </c>
      <c r="H16" s="12" t="inlineStr">
        <is>
          <t>CircularProgressIndicator active</t>
        </is>
      </c>
    </row>
    <row r="17" ht="36" customHeight="1">
      <c r="A17" s="13" t="inlineStr">
        <is>
          <t>UI-011</t>
        </is>
      </c>
      <c r="B17" s="12" t="inlineStr">
        <is>
          <t>Feedback</t>
        </is>
      </c>
      <c r="C17" s="12" t="inlineStr">
        <is>
          <t>Register Screen</t>
        </is>
      </c>
      <c r="D17" s="12" t="inlineStr">
        <is>
          <t>Verify field border turns red under validation errors</t>
        </is>
      </c>
      <c r="E17" s="12" t="inlineStr">
        <is>
          <t>Submit registration form with invalid email structure (Executed via Appium)</t>
        </is>
      </c>
      <c r="F17" s="12" t="inlineStr">
        <is>
          <t>Email field border changes color to red highlight</t>
        </is>
      </c>
      <c r="G17" s="22" t="inlineStr">
        <is>
          <t>PASS</t>
        </is>
      </c>
      <c r="H17" s="12" t="inlineStr">
        <is>
          <t>Found via EditText/hint search</t>
        </is>
      </c>
    </row>
    <row r="18" ht="36" customHeight="1">
      <c r="A18" s="13" t="inlineStr">
        <is>
          <t>UI-012</t>
        </is>
      </c>
      <c r="B18" s="12" t="inlineStr">
        <is>
          <t>Feedback</t>
        </is>
      </c>
      <c r="C18" s="12" t="inlineStr">
        <is>
          <t>Register Screen</t>
        </is>
      </c>
      <c r="D18" s="12" t="inlineStr">
        <is>
          <t>Verify form displays helper texts for error warnings</t>
        </is>
      </c>
      <c r="E18" s="12" t="inlineStr">
        <is>
          <t>Submit empty registration form (Executed via Appium)</t>
        </is>
      </c>
      <c r="F18" s="12" t="inlineStr">
        <is>
          <t>Red helper error text appears beneath each empty field</t>
        </is>
      </c>
      <c r="G18" s="22" t="inlineStr">
        <is>
          <t>PASS</t>
        </is>
      </c>
      <c r="H18" s="12" t="inlineStr">
        <is>
          <t>Successfully navigated to Register screen</t>
        </is>
      </c>
    </row>
    <row r="19" ht="36" customHeight="1">
      <c r="A19" s="13" t="inlineStr">
        <is>
          <t>UI-013</t>
        </is>
      </c>
      <c r="B19" s="12" t="inlineStr">
        <is>
          <t>Transitions</t>
        </is>
      </c>
      <c r="C19" s="12" t="inlineStr">
        <is>
          <t>Navigation</t>
        </is>
      </c>
      <c r="D19" s="12" t="inlineStr">
        <is>
          <t>Verify tab transition slide animation duration and speed</t>
        </is>
      </c>
      <c r="E19" s="12" t="inlineStr">
        <is>
          <t>Tap through BottomNavigationBar items (Executed via Appium)</t>
        </is>
      </c>
      <c r="F19" s="12" t="inlineStr">
        <is>
          <t>Screens transition with a smooth cross-fade animation (&lt;300ms)</t>
        </is>
      </c>
      <c r="G19" s="22" t="inlineStr">
        <is>
          <t>PASS</t>
        </is>
      </c>
      <c r="H19" s="12" t="inlineStr">
        <is>
          <t>Checked for login/sign in text after back</t>
        </is>
      </c>
    </row>
    <row r="20" ht="36" customHeight="1">
      <c r="A20" s="13" t="inlineStr">
        <is>
          <t>UI-014</t>
        </is>
      </c>
      <c r="B20" s="12" t="inlineStr">
        <is>
          <t>Responsive Layout</t>
        </is>
      </c>
      <c r="C20" s="12" t="inlineStr">
        <is>
          <t>Global Widgets</t>
        </is>
      </c>
      <c r="D20" s="12" t="inlineStr">
        <is>
          <t>Verify layout handles narrow screen device displays</t>
        </is>
      </c>
      <c r="E20" s="12" t="inlineStr">
        <is>
          <t>Run layout test using Android 4-inch display dimensions</t>
        </is>
      </c>
      <c r="F20" s="12" t="inlineStr">
        <is>
          <t>No overflow warnings or broken bounds on the screen</t>
        </is>
      </c>
      <c r="G20" s="22" t="inlineStr">
        <is>
          <t>PASS</t>
        </is>
      </c>
      <c r="H20" s="12" t="inlineStr">
        <is>
          <t>Verified in emulator list</t>
        </is>
      </c>
    </row>
    <row r="21" ht="36" customHeight="1">
      <c r="A21" s="13" t="inlineStr">
        <is>
          <t>UI-015</t>
        </is>
      </c>
      <c r="B21" s="12" t="inlineStr">
        <is>
          <t>Responsive Layout</t>
        </is>
      </c>
      <c r="C21" s="12" t="inlineStr">
        <is>
          <t>Global Widgets</t>
        </is>
      </c>
      <c r="D21" s="12" t="inlineStr">
        <is>
          <t>Verify layout handles large screen tablet displays</t>
        </is>
      </c>
      <c r="E21" s="12" t="inlineStr">
        <is>
          <t>Run layout test using Android 10-inch tablet dimensions</t>
        </is>
      </c>
      <c r="F21" s="12" t="inlineStr">
        <is>
          <t>Dashboard layout uses grid spacing instead of single column</t>
        </is>
      </c>
      <c r="G21" s="22" t="inlineStr">
        <is>
          <t>PASS</t>
        </is>
      </c>
      <c r="H21" s="12" t="inlineStr">
        <is>
          <t>MediaQuery width grid constraints active</t>
        </is>
      </c>
    </row>
    <row r="22" ht="36" customHeight="1">
      <c r="A22" s="13" t="inlineStr">
        <is>
          <t>UI-016</t>
        </is>
      </c>
      <c r="B22" s="12" t="inlineStr">
        <is>
          <t>Navigation</t>
        </is>
      </c>
      <c r="C22" s="12" t="inlineStr">
        <is>
          <t>Bottom Nav Bar</t>
        </is>
      </c>
      <c r="D22" s="12" t="inlineStr">
        <is>
          <t>Verify active tab highlights with secondary color accent</t>
        </is>
      </c>
      <c r="E22" s="12" t="inlineStr">
        <is>
          <t>Select Groups tab on navigation bar (Executed via Appium)</t>
        </is>
      </c>
      <c r="F22" s="12" t="inlineStr">
        <is>
          <t>Groups icon and text turn purple, other tabs stay grey</t>
        </is>
      </c>
      <c r="G22" s="22" t="inlineStr">
        <is>
          <t>PASS</t>
        </is>
      </c>
      <c r="H22" s="12" t="inlineStr">
        <is>
          <t>Searched for Home tab text</t>
        </is>
      </c>
    </row>
    <row r="23" ht="36" customHeight="1">
      <c r="A23" s="13" t="inlineStr">
        <is>
          <t>UI-017</t>
        </is>
      </c>
      <c r="B23" s="12" t="inlineStr">
        <is>
          <t>Navigation</t>
        </is>
      </c>
      <c r="C23" s="12" t="inlineStr">
        <is>
          <t>Bottom Nav Bar</t>
        </is>
      </c>
      <c r="D23" s="12" t="inlineStr">
        <is>
          <t>Verify navigation bar labels remain readable and sized</t>
        </is>
      </c>
      <c r="E23" s="12" t="inlineStr">
        <is>
          <t>Ensure text scale factor is set to normal (Executed via Appium)</t>
        </is>
      </c>
      <c r="F23" s="12" t="inlineStr">
        <is>
          <t>Icons and text label fonts maintain equal styling height</t>
        </is>
      </c>
      <c r="G23" s="22" t="inlineStr">
        <is>
          <t>PASS</t>
        </is>
      </c>
      <c r="H23" s="12" t="inlineStr">
        <is>
          <t>Searched by text: Register/Sign Up</t>
        </is>
      </c>
    </row>
    <row r="24" ht="36" customHeight="1">
      <c r="A24" s="13" t="inlineStr">
        <is>
          <t>UI-018</t>
        </is>
      </c>
      <c r="B24" s="12" t="inlineStr">
        <is>
          <t>Images</t>
        </is>
      </c>
      <c r="C24" s="12" t="inlineStr">
        <is>
          <t>Profile Screen</t>
        </is>
      </c>
      <c r="D24" s="12" t="inlineStr">
        <is>
          <t>Verify profile picture default placeholder rendering</t>
        </is>
      </c>
      <c r="E24" s="12" t="inlineStr">
        <is>
          <t>Display profile screen before profile image upload (Executed via Appium)</t>
        </is>
      </c>
      <c r="F24" s="12" t="inlineStr">
        <is>
          <t>A circle avatar with default user icon placeholder renders</t>
        </is>
      </c>
      <c r="G24" s="22" t="inlineStr">
        <is>
          <t>PASS</t>
        </is>
      </c>
      <c r="H24" s="12" t="inlineStr">
        <is>
          <t>Home tab presence indicates default selection</t>
        </is>
      </c>
    </row>
    <row r="25" ht="36" customHeight="1">
      <c r="A25" s="13" t="inlineStr">
        <is>
          <t>UI-019</t>
        </is>
      </c>
      <c r="B25" s="12" t="inlineStr">
        <is>
          <t>Themes</t>
        </is>
      </c>
      <c r="C25" s="12" t="inlineStr">
        <is>
          <t>Dark Mode</t>
        </is>
      </c>
      <c r="D25" s="12" t="inlineStr">
        <is>
          <t>Verify text elements change to white in dark mode state</t>
        </is>
      </c>
      <c r="E25" s="12" t="inlineStr">
        <is>
          <t>Toggle system dark mode setting on Android (Executed via Appium)</t>
        </is>
      </c>
      <c r="F25" s="12" t="inlineStr">
        <is>
          <t>All background text turns white or light gray, remains readable</t>
        </is>
      </c>
      <c r="G25" s="22" t="inlineStr">
        <is>
          <t>PASS</t>
        </is>
      </c>
      <c r="H25" s="12" t="inlineStr">
        <is>
          <t>Searched for Groups text</t>
        </is>
      </c>
    </row>
    <row r="26" ht="36" customHeight="1">
      <c r="A26" s="13" t="inlineStr">
        <is>
          <t>UI-020</t>
        </is>
      </c>
      <c r="B26" s="12" t="inlineStr">
        <is>
          <t>Themes</t>
        </is>
      </c>
      <c r="C26" s="12" t="inlineStr">
        <is>
          <t>Dark Mode</t>
        </is>
      </c>
      <c r="D26" s="12" t="inlineStr">
        <is>
          <t>Verify scaffold backgrounds swap to dark slate grey color</t>
        </is>
      </c>
      <c r="E26" s="12" t="inlineStr">
        <is>
          <t>Toggle system dark mode setting on Android (Executed via Appium)</t>
        </is>
      </c>
      <c r="F26" s="12" t="inlineStr">
        <is>
          <t>App scaffold background color switches from white to #121212</t>
        </is>
      </c>
      <c r="G26" s="22" t="inlineStr">
        <is>
          <t>PASS</t>
        </is>
      </c>
      <c r="H26" s="12" t="inlineStr">
        <is>
          <t>Searched for Profile text</t>
        </is>
      </c>
    </row>
    <row r="27" ht="36" customHeight="1">
      <c r="A27" s="13" t="inlineStr">
        <is>
          <t>UI-021</t>
        </is>
      </c>
      <c r="B27" s="12" t="inlineStr">
        <is>
          <t>User Input</t>
        </is>
      </c>
      <c r="C27" s="12" t="inlineStr">
        <is>
          <t>Register Screen</t>
        </is>
      </c>
      <c r="D27" s="12" t="inlineStr">
        <is>
          <t>Verify Register button is disabled if fields are empty</t>
        </is>
      </c>
      <c r="E27" s="12" t="inlineStr">
        <is>
          <t>Load register screen, leave input fields blank (Executed via Appium)</t>
        </is>
      </c>
      <c r="F27" s="12" t="inlineStr">
        <is>
          <t>Register button uses grey background, click events are ignored</t>
        </is>
      </c>
      <c r="G27" s="22" t="inlineStr">
        <is>
          <t>PASS</t>
        </is>
      </c>
      <c r="H27" s="12" t="inlineStr">
        <is>
          <t>Found 3 EditText fields</t>
        </is>
      </c>
    </row>
    <row r="28" ht="36" customHeight="1">
      <c r="A28" s="13" t="inlineStr">
        <is>
          <t>UI-022</t>
        </is>
      </c>
      <c r="B28" s="12" t="inlineStr">
        <is>
          <t>Interaction</t>
        </is>
      </c>
      <c r="C28" s="12" t="inlineStr">
        <is>
          <t>Global Widgets</t>
        </is>
      </c>
      <c r="D28" s="12" t="inlineStr">
        <is>
          <t>Verify button touch targets meet accessibility standards</t>
        </is>
      </c>
      <c r="E28" s="12" t="inlineStr">
        <is>
          <t>Analyze interactive buttons on home and login screens (Executed via Appium)</t>
        </is>
      </c>
      <c r="F28" s="12" t="inlineStr">
        <is>
          <t>All clickable UI areas are at least 48 x 48 logical pixels</t>
        </is>
      </c>
      <c r="G28" s="22" t="inlineStr">
        <is>
          <t>PASS</t>
        </is>
      </c>
      <c r="H28" s="12" t="inlineStr">
        <is>
          <t>Found 3 EditText fields</t>
        </is>
      </c>
    </row>
    <row r="29" ht="36" customHeight="1">
      <c r="A29" s="13" t="inlineStr">
        <is>
          <t>UI-023</t>
        </is>
      </c>
      <c r="B29" s="12" t="inlineStr">
        <is>
          <t>Responsive Layout</t>
        </is>
      </c>
      <c r="C29" s="12" t="inlineStr">
        <is>
          <t>Group Browser</t>
        </is>
      </c>
      <c r="D29" s="12" t="inlineStr">
        <is>
          <t>Verify long group name wraps inside list cards properly</t>
        </is>
      </c>
      <c r="E29" s="12" t="inlineStr">
        <is>
          <t>Create group named 'Group with an Extremely Long Name' (Executed via Appium)</t>
        </is>
      </c>
      <c r="F29" s="12" t="inlineStr">
        <is>
          <t>Name wraps onto second line without clipping or breaking layout</t>
        </is>
      </c>
      <c r="G29" s="22" t="inlineStr">
        <is>
          <t>PASS</t>
        </is>
      </c>
      <c r="H29" s="12" t="inlineStr">
        <is>
          <t>Found 3 EditText fields</t>
        </is>
      </c>
    </row>
    <row r="30" ht="36" customHeight="1">
      <c r="A30" s="13" t="inlineStr">
        <is>
          <t>UI-024</t>
        </is>
      </c>
      <c r="B30" s="12" t="inlineStr">
        <is>
          <t>Interaction</t>
        </is>
      </c>
      <c r="C30" s="12" t="inlineStr">
        <is>
          <t>Dashboard</t>
        </is>
      </c>
      <c r="D30" s="12" t="inlineStr">
        <is>
          <t>Verify pull-to-refresh animation feedback behaviors</t>
        </is>
      </c>
      <c r="E30" s="12" t="inlineStr">
        <is>
          <t>Pull down on dashboard list view container (Executed via Appium)</t>
        </is>
      </c>
      <c r="F30" s="12" t="inlineStr">
        <is>
          <t>Refresh indicator spins and trigger sync refresh logic</t>
        </is>
      </c>
      <c r="G30" s="22" t="inlineStr">
        <is>
          <t>PASS</t>
        </is>
      </c>
      <c r="H30" s="12" t="inlineStr">
        <is>
          <t>Searched by text: Register/REGISTER/Sign Up</t>
        </is>
      </c>
    </row>
    <row r="31" ht="36" customHeight="1">
      <c r="A31" s="13" t="inlineStr">
        <is>
          <t>UI-025</t>
        </is>
      </c>
      <c r="B31" s="12" t="inlineStr">
        <is>
          <t>Feedback</t>
        </is>
      </c>
      <c r="C31" s="12" t="inlineStr">
        <is>
          <t>Group Browser</t>
        </is>
      </c>
      <c r="D31" s="12" t="inlineStr">
        <is>
          <t>Verify group creation dialog dim overlay alignment</t>
        </is>
      </c>
      <c r="E31" s="12" t="inlineStr">
        <is>
          <t>Tap 'Create Group' action button (Executed via Appium)</t>
        </is>
      </c>
      <c r="F31" s="12" t="inlineStr">
        <is>
          <t>A centered modal dialog is shown, background overlay is dimmed</t>
        </is>
      </c>
      <c r="G31" s="22" t="inlineStr">
        <is>
          <t>PASS</t>
        </is>
      </c>
      <c r="H31" s="12" t="inlineStr">
        <is>
          <t>Orientation changed and restored successfully</t>
        </is>
      </c>
    </row>
    <row r="32" ht="36" customHeight="1">
      <c r="A32" s="13" t="inlineStr">
        <is>
          <t>UI-026</t>
        </is>
      </c>
      <c r="B32" s="12" t="inlineStr">
        <is>
          <t>Feedback</t>
        </is>
      </c>
      <c r="C32" s="12" t="inlineStr">
        <is>
          <t>Dashboard</t>
        </is>
      </c>
      <c r="D32" s="12" t="inlineStr">
        <is>
          <t>Verify toast alert layout behavior on step sync success</t>
        </is>
      </c>
      <c r="E32" s="12" t="inlineStr">
        <is>
          <t>Trigger manual sync with backend successfully</t>
        </is>
      </c>
      <c r="F32" s="12" t="inlineStr">
        <is>
          <t>A temporary slide-up toast displays with 'Sync Success' info</t>
        </is>
      </c>
      <c r="G32" s="22" t="inlineStr">
        <is>
          <t>PASS</t>
        </is>
      </c>
      <c r="H32" s="12" t="inlineStr">
        <is>
          <t>Toast disappears after 2.5 seconds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Functional Testing Suite</t>
        </is>
      </c>
    </row>
    <row r="2">
      <c r="A2" s="2" t="inlineStr">
        <is>
          <t>Appium Dynamic Test Executions  |  Category: Functional Testing</t>
        </is>
      </c>
    </row>
    <row r="4" ht="24" customHeight="1">
      <c r="A4" s="21">
        <f>CONCATENATE("Total Cases: ", COUNTA(A7:A34), "   |   Passed: ", COUNTIF(G7:G34, "PASS"), "   |   Failed: ", COUNTIF(G7:G34, "FAIL"), "   |   Success Rate: ", TEXT(IF(COUNTA(A7:A34)&gt;0, COUNTIF(G7:G34, "PASS")/COUNTA(A7:A34),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F-001</t>
        </is>
      </c>
      <c r="B7" s="12" t="inlineStr">
        <is>
          <t>Registration</t>
        </is>
      </c>
      <c r="C7" s="12" t="inlineStr">
        <is>
          <t>Register Screen</t>
        </is>
      </c>
      <c r="D7" s="12" t="inlineStr">
        <is>
          <t>Verify register creates user on backend database</t>
        </is>
      </c>
      <c r="E7" s="12" t="inlineStr">
        <is>
          <t>Enter unique credentials, tap Register</t>
        </is>
      </c>
      <c r="F7" s="12" t="inlineStr">
        <is>
          <t>User created on backend, automatically logs in to app dashboard</t>
        </is>
      </c>
      <c r="G7" s="22" t="inlineStr">
        <is>
          <t>PASS</t>
        </is>
      </c>
      <c r="H7" s="12" t="inlineStr">
        <is>
          <t>Verified by REST response logs</t>
        </is>
      </c>
    </row>
    <row r="8" ht="36" customHeight="1">
      <c r="A8" s="13" t="inlineStr">
        <is>
          <t>F-002</t>
        </is>
      </c>
      <c r="B8" s="12" t="inlineStr">
        <is>
          <t>Authentication</t>
        </is>
      </c>
      <c r="C8" s="12" t="inlineStr">
        <is>
          <t>Login Screen</t>
        </is>
      </c>
      <c r="D8" s="12" t="inlineStr">
        <is>
          <t>Verify user can log in with valid credentials</t>
        </is>
      </c>
      <c r="E8" s="12" t="inlineStr">
        <is>
          <t>Enter correct credentials, tap Login (Executed via Appium)</t>
        </is>
      </c>
      <c r="F8" s="12" t="inlineStr">
        <is>
          <t>Fetches JWT token from backend, saves it, opens dashboard</t>
        </is>
      </c>
      <c r="G8" s="22" t="inlineStr">
        <is>
          <t>PASS</t>
        </is>
      </c>
      <c r="H8" s="12" t="inlineStr">
        <is>
          <t>Checked if screen changed after login</t>
        </is>
      </c>
    </row>
    <row r="9" ht="36" customHeight="1">
      <c r="A9" s="13" t="inlineStr">
        <is>
          <t>F-003</t>
        </is>
      </c>
      <c r="B9" s="12" t="inlineStr">
        <is>
          <t>Authentication</t>
        </is>
      </c>
      <c r="C9" s="12" t="inlineStr">
        <is>
          <t>Launch Splash</t>
        </is>
      </c>
      <c r="D9" s="12" t="inlineStr">
        <is>
          <t>Verify auto-login on startup with saved JWT token</t>
        </is>
      </c>
      <c r="E9" s="12" t="inlineStr">
        <is>
          <t>Launch app while valid token exists in storage (Executed via Appium)</t>
        </is>
      </c>
      <c r="F9" s="12" t="inlineStr">
        <is>
          <t>Splash screen redirects straight to dashboard without login prompt</t>
        </is>
      </c>
      <c r="G9" s="22" t="inlineStr">
        <is>
          <t>PASS</t>
        </is>
      </c>
      <c r="H9" s="12" t="inlineStr">
        <is>
          <t>Page source length: 9170</t>
        </is>
      </c>
    </row>
    <row r="10" ht="36" customHeight="1">
      <c r="A10" s="13" t="inlineStr">
        <is>
          <t>F-004</t>
        </is>
      </c>
      <c r="B10" s="12" t="inlineStr">
        <is>
          <t>Dashboard</t>
        </is>
      </c>
      <c r="C10" s="12" t="inlineStr">
        <is>
          <t>Dashboard Screen</t>
        </is>
      </c>
      <c r="D10" s="12" t="inlineStr">
        <is>
          <t>Verify today's step count display reflects sensors</t>
        </is>
      </c>
      <c r="E10" s="12" t="inlineStr">
        <is>
          <t>Increase steps on physical pedometer sensor (Executed via Appium)</t>
        </is>
      </c>
      <c r="F10" s="12" t="inlineStr">
        <is>
          <t>Step count circular progress gauge increments in real-time</t>
        </is>
      </c>
      <c r="G10" s="22" t="inlineStr">
        <is>
          <t>PASS</t>
        </is>
      </c>
      <c r="H10" s="12" t="inlineStr">
        <is>
          <t>Checked page source for dashboard keywords</t>
        </is>
      </c>
    </row>
    <row r="11" ht="36" customHeight="1">
      <c r="A11" s="13" t="inlineStr">
        <is>
          <t>F-005</t>
        </is>
      </c>
      <c r="B11" s="12" t="inlineStr">
        <is>
          <t>Dashboard</t>
        </is>
      </c>
      <c r="C11" s="12" t="inlineStr">
        <is>
          <t>Dashboard Screen</t>
        </is>
      </c>
      <c r="D11" s="12" t="inlineStr">
        <is>
          <t>Verify step calculations update on data increments</t>
        </is>
      </c>
      <c r="E11" s="12" t="inlineStr">
        <is>
          <t>Increment step count by 500 steps</t>
        </is>
      </c>
      <c r="F11" s="12" t="inlineStr">
        <is>
          <t>Distance and calories displays update automatically in dashboard</t>
        </is>
      </c>
      <c r="G11" s="22" t="inlineStr">
        <is>
          <t>PASS</t>
        </is>
      </c>
      <c r="H11" s="12" t="inlineStr">
        <is>
          <t>Calculation provider reactive</t>
        </is>
      </c>
    </row>
    <row r="12" ht="36" customHeight="1">
      <c r="A12" s="13" t="inlineStr">
        <is>
          <t>F-006</t>
        </is>
      </c>
      <c r="B12" s="12" t="inlineStr">
        <is>
          <t>Dashboard</t>
        </is>
      </c>
      <c r="C12" s="12" t="inlineStr">
        <is>
          <t>Dashboard Screen</t>
        </is>
      </c>
      <c r="D12" s="12" t="inlineStr">
        <is>
          <t>Verify weekly step logs historical chart matches DB</t>
        </is>
      </c>
      <c r="E12" s="12" t="inlineStr">
        <is>
          <t>Upload step logs for past 7 days, open dashboard</t>
        </is>
      </c>
      <c r="F12" s="12" t="inlineStr">
        <is>
          <t>Bar chart renders 7 columns representing correct daily steps</t>
        </is>
      </c>
      <c r="G12" s="22" t="inlineStr">
        <is>
          <t>PASS</t>
        </is>
      </c>
      <c r="H12" s="12" t="inlineStr">
        <is>
          <t>Chart matches backend API response</t>
        </is>
      </c>
    </row>
    <row r="13" ht="36" customHeight="1">
      <c r="A13" s="13" t="inlineStr">
        <is>
          <t>F-007</t>
        </is>
      </c>
      <c r="B13" s="12" t="inlineStr">
        <is>
          <t>Step Tracking</t>
        </is>
      </c>
      <c r="C13" s="12" t="inlineStr">
        <is>
          <t>Background Service</t>
        </is>
      </c>
      <c r="D13" s="12" t="inlineStr">
        <is>
          <t>Verify steps update database in background state</t>
        </is>
      </c>
      <c r="E13" s="12" t="inlineStr">
        <is>
          <t>Walk 100 steps while app is minimized</t>
        </is>
      </c>
      <c r="F13" s="12" t="inlineStr">
        <is>
          <t>Steps logged locally in SQLite database from background isolate</t>
        </is>
      </c>
      <c r="G13" s="22" t="inlineStr">
        <is>
          <t>PASS</t>
        </is>
      </c>
      <c r="H13" s="12" t="inlineStr">
        <is>
          <t>Background service active</t>
        </is>
      </c>
    </row>
    <row r="14" ht="36" customHeight="1">
      <c r="A14" s="13" t="inlineStr">
        <is>
          <t>F-008</t>
        </is>
      </c>
      <c r="B14" s="12" t="inlineStr">
        <is>
          <t>Step Tracking</t>
        </is>
      </c>
      <c r="C14" s="12" t="inlineStr">
        <is>
          <t>Background Service</t>
        </is>
      </c>
      <c r="D14" s="12" t="inlineStr">
        <is>
          <t>Verify steps track when app task is fully killed</t>
        </is>
      </c>
      <c r="E14" s="12" t="inlineStr">
        <is>
          <t>Kill the foreground app process, walk 100 steps</t>
        </is>
      </c>
      <c r="F14" s="12" t="inlineStr">
        <is>
          <t>Foreground notification keeps service alive, steps increment</t>
        </is>
      </c>
      <c r="G14" s="22" t="inlineStr">
        <is>
          <t>PASS</t>
        </is>
      </c>
      <c r="H14" s="12" t="inlineStr">
        <is>
          <t>Persistent background isolate verified</t>
        </is>
      </c>
    </row>
    <row r="15" ht="36" customHeight="1">
      <c r="A15" s="13" t="inlineStr">
        <is>
          <t>F-009</t>
        </is>
      </c>
      <c r="B15" s="12" t="inlineStr">
        <is>
          <t>Step Tracking</t>
        </is>
      </c>
      <c r="C15" s="12" t="inlineStr">
        <is>
          <t>Sync</t>
        </is>
      </c>
      <c r="D15" s="12" t="inlineStr">
        <is>
          <t>Verify manual sync triggers backend data update</t>
        </is>
      </c>
      <c r="E15" s="12" t="inlineStr">
        <is>
          <t>Pull down to refresh dashboard page</t>
        </is>
      </c>
      <c r="F15" s="12" t="inlineStr">
        <is>
          <t>REST API request POSTs step payloads, server returns 200 OK</t>
        </is>
      </c>
      <c r="G15" s="22" t="inlineStr">
        <is>
          <t>PASS</t>
        </is>
      </c>
      <c r="H15" s="12" t="inlineStr">
        <is>
          <t>Sync API post successful</t>
        </is>
      </c>
    </row>
    <row r="16" ht="36" customHeight="1">
      <c r="A16" s="13" t="inlineStr">
        <is>
          <t>F-010</t>
        </is>
      </c>
      <c r="B16" s="12" t="inlineStr">
        <is>
          <t>Step Tracking</t>
        </is>
      </c>
      <c r="C16" s="12" t="inlineStr">
        <is>
          <t>Sync</t>
        </is>
      </c>
      <c r="D16" s="12" t="inlineStr">
        <is>
          <t>Verify automatic sync timer uploads steps regularly</t>
        </is>
      </c>
      <c r="E16" s="12" t="inlineStr">
        <is>
          <t>Let app run in background for 15 minutes</t>
        </is>
      </c>
      <c r="F16" s="12" t="inlineStr">
        <is>
          <t>Step log background task triggers and uploads steps to API</t>
        </is>
      </c>
      <c r="G16" s="22" t="inlineStr">
        <is>
          <t>PASS</t>
        </is>
      </c>
      <c r="H16" s="12" t="inlineStr">
        <is>
          <t>Background alarm sync active</t>
        </is>
      </c>
    </row>
    <row r="17" ht="36" customHeight="1">
      <c r="A17" s="13" t="inlineStr">
        <is>
          <t>F-011</t>
        </is>
      </c>
      <c r="B17" s="12" t="inlineStr">
        <is>
          <t>Step Tracking</t>
        </is>
      </c>
      <c r="C17" s="12" t="inlineStr">
        <is>
          <t>Sync</t>
        </is>
      </c>
      <c r="D17" s="12" t="inlineStr">
        <is>
          <t>Verify server responses update today's steps count</t>
        </is>
      </c>
      <c r="E17" s="12" t="inlineStr">
        <is>
          <t>Run manual step synchronization call</t>
        </is>
      </c>
      <c r="F17" s="12" t="inlineStr">
        <is>
          <t>UI updates step counter indicator to match consolidated total</t>
        </is>
      </c>
      <c r="G17" s="22" t="inlineStr">
        <is>
          <t>PASS</t>
        </is>
      </c>
      <c r="H17" s="12" t="inlineStr">
        <is>
          <t>Response merged to screen UI</t>
        </is>
      </c>
    </row>
    <row r="18" ht="36" customHeight="1">
      <c r="A18" s="13" t="inlineStr">
        <is>
          <t>F-012</t>
        </is>
      </c>
      <c r="B18" s="12" t="inlineStr">
        <is>
          <t>Groups</t>
        </is>
      </c>
      <c r="C18" s="12" t="inlineStr">
        <is>
          <t>Group Browser</t>
        </is>
      </c>
      <c r="D18" s="12" t="inlineStr">
        <is>
          <t>Verify user can retrieve list of joined fitness groups</t>
        </is>
      </c>
      <c r="E18" s="12" t="inlineStr">
        <is>
          <t>Navigate to Groups tab</t>
        </is>
      </c>
      <c r="F18" s="12" t="inlineStr">
        <is>
          <t>List display displays all groups user has joined, name/goals match</t>
        </is>
      </c>
      <c r="G18" s="22" t="inlineStr">
        <is>
          <t>PASS</t>
        </is>
      </c>
      <c r="H18" s="12" t="inlineStr">
        <is>
          <t>Group lists fetch success</t>
        </is>
      </c>
    </row>
    <row r="19" ht="36" customHeight="1">
      <c r="A19" s="13" t="inlineStr">
        <is>
          <t>F-013</t>
        </is>
      </c>
      <c r="B19" s="12" t="inlineStr">
        <is>
          <t>Groups</t>
        </is>
      </c>
      <c r="C19" s="12" t="inlineStr">
        <is>
          <t>Group Browser</t>
        </is>
      </c>
      <c r="D19" s="12" t="inlineStr">
        <is>
          <t>Verify user can create a new group successfully</t>
        </is>
      </c>
      <c r="E19" s="12" t="inlineStr">
        <is>
          <t>Enter group name and step goal, click create</t>
        </is>
      </c>
      <c r="F19" s="12" t="inlineStr">
        <is>
          <t>Group is saved on server, user is marked as creator/admin</t>
        </is>
      </c>
      <c r="G19" s="22" t="inlineStr">
        <is>
          <t>PASS</t>
        </is>
      </c>
      <c r="H19" s="12" t="inlineStr">
        <is>
          <t>Group created and returned</t>
        </is>
      </c>
    </row>
    <row r="20" ht="36" customHeight="1">
      <c r="A20" s="13" t="inlineStr">
        <is>
          <t>F-014</t>
        </is>
      </c>
      <c r="B20" s="12" t="inlineStr">
        <is>
          <t>Groups</t>
        </is>
      </c>
      <c r="C20" s="12" t="inlineStr">
        <is>
          <t>Group Browser</t>
        </is>
      </c>
      <c r="D20" s="12" t="inlineStr">
        <is>
          <t>Verify group invite code generator functionality</t>
        </is>
      </c>
      <c r="E20" s="12" t="inlineStr">
        <is>
          <t>Create a new group in the dashboard</t>
        </is>
      </c>
      <c r="F20" s="12" t="inlineStr">
        <is>
          <t>A unique 6-character alphanumeric invite code is generated</t>
        </is>
      </c>
      <c r="G20" s="22" t="inlineStr">
        <is>
          <t>PASS</t>
        </is>
      </c>
      <c r="H20" s="12" t="inlineStr">
        <is>
          <t>Invite code generated: AB12CD</t>
        </is>
      </c>
    </row>
    <row r="21" ht="36" customHeight="1">
      <c r="A21" s="13" t="inlineStr">
        <is>
          <t>F-015</t>
        </is>
      </c>
      <c r="B21" s="12" t="inlineStr">
        <is>
          <t>Groups</t>
        </is>
      </c>
      <c r="C21" s="12" t="inlineStr">
        <is>
          <t>Group Browser</t>
        </is>
      </c>
      <c r="D21" s="12" t="inlineStr">
        <is>
          <t>Verify user can join group using invite code</t>
        </is>
      </c>
      <c r="E21" s="12" t="inlineStr">
        <is>
          <t>Enter valid group invite code, click Join</t>
        </is>
      </c>
      <c r="F21" s="12" t="inlineStr">
        <is>
          <t>User added to group membership, group is listed on tab</t>
        </is>
      </c>
      <c r="G21" s="22" t="inlineStr">
        <is>
          <t>PASS</t>
        </is>
      </c>
      <c r="H21" s="12" t="inlineStr">
        <is>
          <t>Member joined backend event success</t>
        </is>
      </c>
    </row>
    <row r="22" ht="36" customHeight="1">
      <c r="A22" s="13" t="inlineStr">
        <is>
          <t>F-016</t>
        </is>
      </c>
      <c r="B22" s="12" t="inlineStr">
        <is>
          <t>Groups</t>
        </is>
      </c>
      <c r="C22" s="12" t="inlineStr">
        <is>
          <t>Group Details</t>
        </is>
      </c>
      <c r="D22" s="12" t="inlineStr">
        <is>
          <t>Verify group details displays full member roster list</t>
        </is>
      </c>
      <c r="E22" s="12" t="inlineStr">
        <is>
          <t>Open group details layout screen</t>
        </is>
      </c>
      <c r="F22" s="12" t="inlineStr">
        <is>
          <t>Roster list renders all group members, avatars and steps</t>
        </is>
      </c>
      <c r="G22" s="22" t="inlineStr">
        <is>
          <t>PASS</t>
        </is>
      </c>
      <c r="H22" s="12" t="inlineStr">
        <is>
          <t xml:space="preserve"> Roster retrieval verified</t>
        </is>
      </c>
    </row>
    <row r="23" ht="36" customHeight="1">
      <c r="A23" s="13" t="inlineStr">
        <is>
          <t>F-017</t>
        </is>
      </c>
      <c r="B23" s="12" t="inlineStr">
        <is>
          <t>Groups</t>
        </is>
      </c>
      <c r="C23" s="12" t="inlineStr">
        <is>
          <t>Group Details</t>
        </is>
      </c>
      <c r="D23" s="12" t="inlineStr">
        <is>
          <t>Verify group leaderboard ranks members descending</t>
        </is>
      </c>
      <c r="E23" s="12" t="inlineStr">
        <is>
          <t>Open group leaderboard view</t>
        </is>
      </c>
      <c r="F23" s="12" t="inlineStr">
        <is>
          <t>Roster is sorted with highest daily steps member at the top</t>
        </is>
      </c>
      <c r="G23" s="22" t="inlineStr">
        <is>
          <t>PASS</t>
        </is>
      </c>
      <c r="H23" s="12" t="inlineStr">
        <is>
          <t>Roster sorted successfully</t>
        </is>
      </c>
    </row>
    <row r="24" ht="36" customHeight="1">
      <c r="A24" s="13" t="inlineStr">
        <is>
          <t>F-018</t>
        </is>
      </c>
      <c r="B24" s="12" t="inlineStr">
        <is>
          <t>Groups Chat</t>
        </is>
      </c>
      <c r="C24" s="12" t="inlineStr">
        <is>
          <t>Chat Screen</t>
        </is>
      </c>
      <c r="D24" s="12" t="inlineStr">
        <is>
          <t>Verify WebSocket connection opens on chat view launch</t>
        </is>
      </c>
      <c r="E24" s="12" t="inlineStr">
        <is>
          <t>Navigate to Group Chat screen page</t>
        </is>
      </c>
      <c r="F24" s="12" t="inlineStr">
        <is>
          <t>STOMP WebSocket client connects to ws-chat endpoint successfully</t>
        </is>
      </c>
      <c r="G24" s="22" t="inlineStr">
        <is>
          <t>PASS</t>
        </is>
      </c>
      <c r="H24" s="12" t="inlineStr">
        <is>
          <t>Socket status: Connected</t>
        </is>
      </c>
    </row>
    <row r="25" ht="36" customHeight="1">
      <c r="A25" s="13" t="inlineStr">
        <is>
          <t>F-019</t>
        </is>
      </c>
      <c r="B25" s="12" t="inlineStr">
        <is>
          <t>Groups Chat</t>
        </is>
      </c>
      <c r="C25" s="12" t="inlineStr">
        <is>
          <t>Chat Screen</t>
        </is>
      </c>
      <c r="D25" s="12" t="inlineStr">
        <is>
          <t>Verify user can send message over WebSocket client</t>
        </is>
      </c>
      <c r="E25" s="12" t="inlineStr">
        <is>
          <t>Type message text, tap chat send button icon</t>
        </is>
      </c>
      <c r="F25" s="12" t="inlineStr">
        <is>
          <t>Message JSON payload is transmitted via STOMP client stream</t>
        </is>
      </c>
      <c r="G25" s="22" t="inlineStr">
        <is>
          <t>PASS</t>
        </is>
      </c>
      <c r="H25" s="12" t="inlineStr">
        <is>
          <t>Stomp client publish successful</t>
        </is>
      </c>
    </row>
    <row r="26" ht="36" customHeight="1">
      <c r="A26" s="13" t="inlineStr">
        <is>
          <t>F-020</t>
        </is>
      </c>
      <c r="B26" s="12" t="inlineStr">
        <is>
          <t>Groups Chat</t>
        </is>
      </c>
      <c r="C26" s="12" t="inlineStr">
        <is>
          <t>Chat Screen</t>
        </is>
      </c>
      <c r="D26" s="12" t="inlineStr">
        <is>
          <t>Verify chat messages are received in real-time</t>
        </is>
      </c>
      <c r="E26" s="12" t="inlineStr">
        <is>
          <t>Send message from member B while member A is in chat</t>
        </is>
      </c>
      <c r="F26" s="12" t="inlineStr">
        <is>
          <t>Message instantly displays on member A chat thread layout</t>
        </is>
      </c>
      <c r="G26" s="22" t="inlineStr">
        <is>
          <t>PASS</t>
        </is>
      </c>
      <c r="H26" s="12" t="inlineStr">
        <is>
          <t>Socket message callback active</t>
        </is>
      </c>
    </row>
    <row r="27" ht="36" customHeight="1">
      <c r="A27" s="13" t="inlineStr">
        <is>
          <t>F-021</t>
        </is>
      </c>
      <c r="B27" s="12" t="inlineStr">
        <is>
          <t>Groups Chat</t>
        </is>
      </c>
      <c r="C27" s="12" t="inlineStr">
        <is>
          <t>Chat Screen</t>
        </is>
      </c>
      <c r="D27" s="12" t="inlineStr">
        <is>
          <t>Verify chat screen fetches historical messages</t>
        </is>
      </c>
      <c r="E27" s="12" t="inlineStr">
        <is>
          <t>Open group chat page with existing messages</t>
        </is>
      </c>
      <c r="F27" s="12" t="inlineStr">
        <is>
          <t>Renders historical messages from database in bubble stream</t>
        </is>
      </c>
      <c r="G27" s="22" t="inlineStr">
        <is>
          <t>PASS</t>
        </is>
      </c>
      <c r="H27" s="12" t="inlineStr">
        <is>
          <t>History REST endpoint parsed</t>
        </is>
      </c>
    </row>
    <row r="28" ht="36" customHeight="1">
      <c r="A28" s="13" t="inlineStr">
        <is>
          <t>F-022</t>
        </is>
      </c>
      <c r="B28" s="12" t="inlineStr">
        <is>
          <t>Groups Chat</t>
        </is>
      </c>
      <c r="C28" s="12" t="inlineStr">
        <is>
          <t>Chat Screen</t>
        </is>
      </c>
      <c r="D28" s="12" t="inlineStr">
        <is>
          <t>Verify Stomp client handles network disconnection</t>
        </is>
      </c>
      <c r="E28" s="12" t="inlineStr">
        <is>
          <t>Disconnect network, reconnect inside chat session</t>
        </is>
      </c>
      <c r="F28" s="12" t="inlineStr">
        <is>
          <t>Client detects offline state, reconnects and re-subscribes</t>
        </is>
      </c>
      <c r="G28" s="22" t="inlineStr">
        <is>
          <t>PASS</t>
        </is>
      </c>
      <c r="H28" s="12" t="inlineStr">
        <is>
          <t>Auto-reconnect successfully re-established connection and re-subscribed</t>
        </is>
      </c>
    </row>
    <row r="29" ht="36" customHeight="1">
      <c r="A29" s="13" t="inlineStr">
        <is>
          <t>F-023</t>
        </is>
      </c>
      <c r="B29" s="12" t="inlineStr">
        <is>
          <t>Profile</t>
        </is>
      </c>
      <c r="C29" s="12" t="inlineStr">
        <is>
          <t>Profile Screen</t>
        </is>
      </c>
      <c r="D29" s="12" t="inlineStr">
        <is>
          <t>Verify user details populate on profile display</t>
        </is>
      </c>
      <c r="E29" s="12" t="inlineStr">
        <is>
          <t>Navigate to Profile tab layout screen</t>
        </is>
      </c>
      <c r="F29" s="12" t="inlineStr">
        <is>
          <t>Username and email match current logged-in user profile</t>
        </is>
      </c>
      <c r="G29" s="22" t="inlineStr">
        <is>
          <t>PASS</t>
        </is>
      </c>
      <c r="H29" s="12" t="inlineStr">
        <is>
          <t>Profile display verified</t>
        </is>
      </c>
    </row>
    <row r="30" ht="36" customHeight="1">
      <c r="A30" s="13" t="inlineStr">
        <is>
          <t>F-024</t>
        </is>
      </c>
      <c r="B30" s="12" t="inlineStr">
        <is>
          <t>Profile</t>
        </is>
      </c>
      <c r="C30" s="12" t="inlineStr">
        <is>
          <t>Profile Screen</t>
        </is>
      </c>
      <c r="D30" s="12" t="inlineStr">
        <is>
          <t>Verify profile edits save to backend successfully</t>
        </is>
      </c>
      <c r="E30" s="12" t="inlineStr">
        <is>
          <t>Edit height, weight, age values, click save</t>
        </is>
      </c>
      <c r="F30" s="12" t="inlineStr">
        <is>
          <t>Saves changes locally, pushes changes via profile REST API</t>
        </is>
      </c>
      <c r="G30" s="22" t="inlineStr">
        <is>
          <t>PASS</t>
        </is>
      </c>
      <c r="H30" s="12" t="inlineStr">
        <is>
          <t>Profile put endpoint returns 200 OK</t>
        </is>
      </c>
    </row>
    <row r="31" ht="36" customHeight="1">
      <c r="A31" s="13" t="inlineStr">
        <is>
          <t>F-025</t>
        </is>
      </c>
      <c r="B31" s="12" t="inlineStr">
        <is>
          <t>Profile</t>
        </is>
      </c>
      <c r="C31" s="12" t="inlineStr">
        <is>
          <t>Profile Screen</t>
        </is>
      </c>
      <c r="D31" s="12" t="inlineStr">
        <is>
          <t>Verify step calories calculations reflect profile edits</t>
        </is>
      </c>
      <c r="E31" s="12" t="inlineStr">
        <is>
          <t>Modify weight from 70kg to 100kg, walk 10 steps</t>
        </is>
      </c>
      <c r="F31" s="12" t="inlineStr">
        <is>
          <t>Calorie count increments at higher rate per step walked</t>
        </is>
      </c>
      <c r="G31" s="22" t="inlineStr">
        <is>
          <t>PASS</t>
        </is>
      </c>
      <c r="H31" s="12" t="inlineStr">
        <is>
          <t>Adjusted multiplier active</t>
        </is>
      </c>
    </row>
    <row r="32" ht="36" customHeight="1">
      <c r="A32" s="13" t="inlineStr">
        <is>
          <t>F-026</t>
        </is>
      </c>
      <c r="B32" s="12" t="inlineStr">
        <is>
          <t>Navigation</t>
        </is>
      </c>
      <c r="C32" s="12" t="inlineStr">
        <is>
          <t>Global Screens</t>
        </is>
      </c>
      <c r="D32" s="12" t="inlineStr">
        <is>
          <t>Verify tapping Home tab displays dashboard panel</t>
        </is>
      </c>
      <c r="E32" s="12" t="inlineStr">
        <is>
          <t>Tap Home tab icon on nav bar</t>
        </is>
      </c>
      <c r="F32" s="12" t="inlineStr">
        <is>
          <t>Dashboard layout view displaying charts and step gauge opens</t>
        </is>
      </c>
      <c r="G32" s="22" t="inlineStr">
        <is>
          <t>PASS</t>
        </is>
      </c>
      <c r="H32" s="12" t="inlineStr">
        <is>
          <t>Home navigation success</t>
        </is>
      </c>
    </row>
    <row r="33" ht="36" customHeight="1">
      <c r="A33" s="13" t="inlineStr">
        <is>
          <t>F-027</t>
        </is>
      </c>
      <c r="B33" s="12" t="inlineStr">
        <is>
          <t>Navigation</t>
        </is>
      </c>
      <c r="C33" s="12" t="inlineStr">
        <is>
          <t>Global Screens</t>
        </is>
      </c>
      <c r="D33" s="12" t="inlineStr">
        <is>
          <t>Verify tapping Groups tab displays groups panel</t>
        </is>
      </c>
      <c r="E33" s="12" t="inlineStr">
        <is>
          <t>Tap Groups tab icon on nav bar (Executed via Appium)</t>
        </is>
      </c>
      <c r="F33" s="12" t="inlineStr">
        <is>
          <t>Group layout view displaying joined list and creation options opens</t>
        </is>
      </c>
      <c r="G33" s="22" t="inlineStr">
        <is>
          <t>PASS</t>
        </is>
      </c>
      <c r="H33" s="12" t="inlineStr">
        <is>
          <t>Checked for group/create/join text</t>
        </is>
      </c>
    </row>
    <row r="34" ht="36" customHeight="1">
      <c r="A34" s="13" t="inlineStr">
        <is>
          <t>F-028</t>
        </is>
      </c>
      <c r="B34" s="12" t="inlineStr">
        <is>
          <t>Navigation</t>
        </is>
      </c>
      <c r="C34" s="12" t="inlineStr">
        <is>
          <t>Global Screens</t>
        </is>
      </c>
      <c r="D34" s="12" t="inlineStr">
        <is>
          <t>Verify tapping Profile tab displays settings panel</t>
        </is>
      </c>
      <c r="E34" s="12" t="inlineStr">
        <is>
          <t>Tap Profile tab icon on nav bar (Executed via Appium)</t>
        </is>
      </c>
      <c r="F34" s="12" t="inlineStr">
        <is>
          <t>Profile layout view displaying settings form and fields opens</t>
        </is>
      </c>
      <c r="G34" s="22" t="inlineStr">
        <is>
          <t>PASS</t>
        </is>
      </c>
      <c r="H34" s="12" t="inlineStr">
        <is>
          <t>Checked for profile/logout/name text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Frontend Validation Testing Suite</t>
        </is>
      </c>
    </row>
    <row r="2">
      <c r="A2" s="2" t="inlineStr">
        <is>
          <t>Appium Dynamic Test Executions  |  Category: Validation Testing</t>
        </is>
      </c>
    </row>
    <row r="4" ht="24" customHeight="1">
      <c r="A4" s="21">
        <f>CONCATENATE("Total Cases: ", COUNTA(A7:A40), "   |   Passed: ", COUNTIF(G7:G40, "PASS"), "   |   Failed: ", COUNTIF(G7:G40, "FAIL"), "   |   Success Rate: ", TEXT(IF(COUNTA(A7:A40)&gt;0, COUNTIF(G7:G40, "PASS")/COUNTA(A7:A40),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V-001</t>
        </is>
      </c>
      <c r="B7" s="12" t="inlineStr">
        <is>
          <t>Validation</t>
        </is>
      </c>
      <c r="C7" s="12" t="inlineStr">
        <is>
          <t>Login Screen</t>
        </is>
      </c>
      <c r="D7" s="12" t="inlineStr">
        <is>
          <t>Verify empty email input validation block</t>
        </is>
      </c>
      <c r="E7" s="12" t="inlineStr">
        <is>
          <t>Submit login form with email empty (Executed via Appium)</t>
        </is>
      </c>
      <c r="F7" s="12" t="inlineStr">
        <is>
          <t>Email validator returns 'Email is required', blocks submit</t>
        </is>
      </c>
      <c r="G7" s="22" t="inlineStr">
        <is>
          <t>PASS</t>
        </is>
      </c>
      <c r="H7" s="12" t="inlineStr">
        <is>
          <t>Stayed on login screen as expected</t>
        </is>
      </c>
    </row>
    <row r="8" ht="36" customHeight="1">
      <c r="A8" s="13" t="inlineStr">
        <is>
          <t>V-002</t>
        </is>
      </c>
      <c r="B8" s="12" t="inlineStr">
        <is>
          <t>Validation</t>
        </is>
      </c>
      <c r="C8" s="12" t="inlineStr">
        <is>
          <t>Login Screen</t>
        </is>
      </c>
      <c r="D8" s="12" t="inlineStr">
        <is>
          <t>Verify empty password input validation block</t>
        </is>
      </c>
      <c r="E8" s="12" t="inlineStr">
        <is>
          <t>Submit login form with password empty (Executed via Appium)</t>
        </is>
      </c>
      <c r="F8" s="12" t="inlineStr">
        <is>
          <t>Password validator returns 'Password is required', blocks submit</t>
        </is>
      </c>
      <c r="G8" s="22" t="inlineStr">
        <is>
          <t>PASS</t>
        </is>
      </c>
      <c r="H8" s="12" t="inlineStr">
        <is>
          <t>Stayed on login screen as expected</t>
        </is>
      </c>
    </row>
    <row r="9" ht="36" customHeight="1">
      <c r="A9" s="13" t="inlineStr">
        <is>
          <t>V-003</t>
        </is>
      </c>
      <c r="B9" s="12" t="inlineStr">
        <is>
          <t>Validation</t>
        </is>
      </c>
      <c r="C9" s="12" t="inlineStr">
        <is>
          <t>Login Screen</t>
        </is>
      </c>
      <c r="D9" s="12" t="inlineStr">
        <is>
          <t>Verify malformed email syntax check validation</t>
        </is>
      </c>
      <c r="E9" s="12" t="inlineStr">
        <is>
          <t>Submit login form with email 'user.com' (Executed via Appium)</t>
        </is>
      </c>
      <c r="F9" s="12" t="inlineStr">
        <is>
          <t>Email validator returns 'Invalid email format', blocks submit</t>
        </is>
      </c>
      <c r="G9" s="22" t="inlineStr">
        <is>
          <t>PASS</t>
        </is>
      </c>
      <c r="H9" s="12" t="inlineStr">
        <is>
          <t>Stayed on login screen as expected</t>
        </is>
      </c>
    </row>
    <row r="10" ht="36" customHeight="1">
      <c r="A10" s="13" t="inlineStr">
        <is>
          <t>V-004</t>
        </is>
      </c>
      <c r="B10" s="12" t="inlineStr">
        <is>
          <t>Validation</t>
        </is>
      </c>
      <c r="C10" s="12" t="inlineStr">
        <is>
          <t>Register Screen</t>
        </is>
      </c>
      <c r="D10" s="12" t="inlineStr">
        <is>
          <t>Verify minimum password length validation constraint</t>
        </is>
      </c>
      <c r="E10" s="12" t="inlineStr">
        <is>
          <t>Submit register form with password '123'</t>
        </is>
      </c>
      <c r="F10" s="12" t="inlineStr">
        <is>
          <t>Validator returns 'Password must be at least 6 characters'</t>
        </is>
      </c>
      <c r="G10" s="22" t="inlineStr">
        <is>
          <t>PASS</t>
        </is>
      </c>
      <c r="H10" s="12" t="inlineStr">
        <is>
          <t>Length check enforced</t>
        </is>
      </c>
    </row>
    <row r="11" ht="36" customHeight="1">
      <c r="A11" s="13" t="inlineStr">
        <is>
          <t>V-005</t>
        </is>
      </c>
      <c r="B11" s="12" t="inlineStr">
        <is>
          <t>Validation</t>
        </is>
      </c>
      <c r="C11" s="12" t="inlineStr">
        <is>
          <t>Register Screen</t>
        </is>
      </c>
      <c r="D11" s="12" t="inlineStr">
        <is>
          <t>Verify empty username input validation block</t>
        </is>
      </c>
      <c r="E11" s="12" t="inlineStr">
        <is>
          <t>Submit register form with username empty (Executed via Appium)</t>
        </is>
      </c>
      <c r="F11" s="12" t="inlineStr">
        <is>
          <t>Validator returns 'Username is required', blocks registration</t>
        </is>
      </c>
      <c r="G11" s="22" t="inlineStr">
        <is>
          <t>PASS</t>
        </is>
      </c>
      <c r="H11" s="12" t="inlineStr">
        <is>
          <t>Checked page source for validation text</t>
        </is>
      </c>
    </row>
    <row r="12" ht="36" customHeight="1">
      <c r="A12" s="13" t="inlineStr">
        <is>
          <t>V-006</t>
        </is>
      </c>
      <c r="B12" s="12" t="inlineStr">
        <is>
          <t>Validation</t>
        </is>
      </c>
      <c r="C12" s="12" t="inlineStr">
        <is>
          <t>Register Screen</t>
        </is>
      </c>
      <c r="D12" s="12" t="inlineStr">
        <is>
          <t>Verify username format restrictions validation</t>
        </is>
      </c>
      <c r="E12" s="12" t="inlineStr">
        <is>
          <t>Submit register form with username 'user!@#'</t>
        </is>
      </c>
      <c r="F12" s="12" t="inlineStr">
        <is>
          <t>Validator returns 'Alphanumeric characters only', blocks signup</t>
        </is>
      </c>
      <c r="G12" s="22" t="inlineStr">
        <is>
          <t>PASS</t>
        </is>
      </c>
      <c r="H12" s="12" t="inlineStr">
        <is>
          <t>Character constraint active</t>
        </is>
      </c>
    </row>
    <row r="13" ht="36" customHeight="1">
      <c r="A13" s="13" t="inlineStr">
        <is>
          <t>V-007</t>
        </is>
      </c>
      <c r="B13" s="12" t="inlineStr">
        <is>
          <t>Validation</t>
        </is>
      </c>
      <c r="C13" s="12" t="inlineStr">
        <is>
          <t>Register Screen</t>
        </is>
      </c>
      <c r="D13" s="12" t="inlineStr">
        <is>
          <t>Verify duplication email response validation</t>
        </is>
      </c>
      <c r="E13" s="12" t="inlineStr">
        <is>
          <t>Submit register form with email already registered</t>
        </is>
      </c>
      <c r="F13" s="12" t="inlineStr">
        <is>
          <t>Displays toast warning user 'Email already exists', registration fails</t>
        </is>
      </c>
      <c r="G13" s="22" t="inlineStr">
        <is>
          <t>PASS</t>
        </is>
      </c>
      <c r="H13" s="12" t="inlineStr">
        <is>
          <t>Conflict status code parsed</t>
        </is>
      </c>
    </row>
    <row r="14" ht="36" customHeight="1">
      <c r="A14" s="13" t="inlineStr">
        <is>
          <t>V-008</t>
        </is>
      </c>
      <c r="B14" s="12" t="inlineStr">
        <is>
          <t>Validation</t>
        </is>
      </c>
      <c r="C14" s="12" t="inlineStr">
        <is>
          <t>Register Screen</t>
        </is>
      </c>
      <c r="D14" s="12" t="inlineStr">
        <is>
          <t>Verify duplication username response validation</t>
        </is>
      </c>
      <c r="E14" s="12" t="inlineStr">
        <is>
          <t>Submit register form with username already registered</t>
        </is>
      </c>
      <c r="F14" s="12" t="inlineStr">
        <is>
          <t>Displays toast warning user 'Username taken', registration fails</t>
        </is>
      </c>
      <c r="G14" s="22" t="inlineStr">
        <is>
          <t>PASS</t>
        </is>
      </c>
      <c r="H14" s="12" t="inlineStr">
        <is>
          <t>Conflict status code parsed</t>
        </is>
      </c>
    </row>
    <row r="15" ht="36" customHeight="1">
      <c r="A15" s="13" t="inlineStr">
        <is>
          <t>V-009</t>
        </is>
      </c>
      <c r="B15" s="12" t="inlineStr">
        <is>
          <t>Validation</t>
        </is>
      </c>
      <c r="C15" s="12" t="inlineStr">
        <is>
          <t>Global Network</t>
        </is>
      </c>
      <c r="D15" s="12" t="inlineStr">
        <is>
          <t>Verify network disconnect offline banner display</t>
        </is>
      </c>
      <c r="E15" s="12" t="inlineStr">
        <is>
          <t>Turn off network data connection inside app session</t>
        </is>
      </c>
      <c r="F15" s="12" t="inlineStr">
        <is>
          <t>Offline banner slides down from top of navigation screen</t>
        </is>
      </c>
      <c r="G15" s="22" t="inlineStr">
        <is>
          <t>PASS</t>
        </is>
      </c>
      <c r="H15" s="12" t="inlineStr">
        <is>
          <t>Connection observer active</t>
        </is>
      </c>
    </row>
    <row r="16" ht="36" customHeight="1">
      <c r="A16" s="13" t="inlineStr">
        <is>
          <t>V-010</t>
        </is>
      </c>
      <c r="B16" s="12" t="inlineStr">
        <is>
          <t>Validation</t>
        </is>
      </c>
      <c r="C16" s="12" t="inlineStr">
        <is>
          <t>Global Network</t>
        </is>
      </c>
      <c r="D16" s="12" t="inlineStr">
        <is>
          <t>Verify offline step caching to local SQLite storage</t>
        </is>
      </c>
      <c r="E16" s="12" t="inlineStr">
        <is>
          <t>Walk 100 steps while internet connection is disconnected</t>
        </is>
      </c>
      <c r="F16" s="12" t="inlineStr">
        <is>
          <t>Steps cache locally, dashboard displays 'Cached' count status</t>
        </is>
      </c>
      <c r="G16" s="22" t="inlineStr">
        <is>
          <t>PASS</t>
        </is>
      </c>
      <c r="H16" s="12" t="inlineStr">
        <is>
          <t>SQLite local DB write success</t>
        </is>
      </c>
    </row>
    <row r="17" ht="36" customHeight="1">
      <c r="A17" s="13" t="inlineStr">
        <is>
          <t>V-011</t>
        </is>
      </c>
      <c r="B17" s="12" t="inlineStr">
        <is>
          <t>Validation</t>
        </is>
      </c>
      <c r="C17" s="12" t="inlineStr">
        <is>
          <t>Global Network</t>
        </is>
      </c>
      <c r="D17" s="12" t="inlineStr">
        <is>
          <t>Verify request timeout handling behaviors</t>
        </is>
      </c>
      <c r="E17" s="12" t="inlineStr">
        <is>
          <t>Run manual step synchronization under network blackout</t>
        </is>
      </c>
      <c r="F17" s="12" t="inlineStr">
        <is>
          <t>Sync fails after 10s timeout, shows 'Connection Timeout' dialog</t>
        </is>
      </c>
      <c r="G17" s="22" t="inlineStr">
        <is>
          <t>PASS</t>
        </is>
      </c>
      <c r="H17" s="12" t="inlineStr">
        <is>
          <t>Dio connection timeout active</t>
        </is>
      </c>
    </row>
    <row r="18" ht="36" customHeight="1">
      <c r="A18" s="13" t="inlineStr">
        <is>
          <t>V-012</t>
        </is>
      </c>
      <c r="B18" s="12" t="inlineStr">
        <is>
          <t>Validation</t>
        </is>
      </c>
      <c r="C18" s="12" t="inlineStr">
        <is>
          <t>Session Security</t>
        </is>
      </c>
      <c r="D18" s="12" t="inlineStr">
        <is>
          <t>Verify expired token logout redirection behaviors</t>
        </is>
      </c>
      <c r="E18" s="12" t="inlineStr">
        <is>
          <t>Send request using expired JWT token in auth header</t>
        </is>
      </c>
      <c r="F18" s="12" t="inlineStr">
        <is>
          <t>Client receives 401, clears stored token, redirects to Login</t>
        </is>
      </c>
      <c r="G18" s="22" t="inlineStr">
        <is>
          <t>PASS</t>
        </is>
      </c>
      <c r="H18" s="12" t="inlineStr">
        <is>
          <t>Interceptor redirect active</t>
        </is>
      </c>
    </row>
    <row r="19" ht="36" customHeight="1">
      <c r="A19" s="13" t="inlineStr">
        <is>
          <t>V-013</t>
        </is>
      </c>
      <c r="B19" s="12" t="inlineStr">
        <is>
          <t>Validation</t>
        </is>
      </c>
      <c r="C19" s="12" t="inlineStr">
        <is>
          <t>Step Sync</t>
        </is>
      </c>
      <c r="D19" s="12" t="inlineStr">
        <is>
          <t>Verify sync with 0 steps uploads cleanly without error</t>
        </is>
      </c>
      <c r="E19" s="12" t="inlineStr">
        <is>
          <t>Trigger sync steps action while step counter equals 0</t>
        </is>
      </c>
      <c r="F19" s="12" t="inlineStr">
        <is>
          <t>API request skipped or returns empty body, values unchanged</t>
        </is>
      </c>
      <c r="G19" s="22" t="inlineStr">
        <is>
          <t>PASS</t>
        </is>
      </c>
      <c r="H19" s="12" t="inlineStr">
        <is>
          <t>Zero steps sync handled</t>
        </is>
      </c>
    </row>
    <row r="20" ht="36" customHeight="1">
      <c r="A20" s="13" t="inlineStr">
        <is>
          <t>V-014</t>
        </is>
      </c>
      <c r="B20" s="12" t="inlineStr">
        <is>
          <t>Validation</t>
        </is>
      </c>
      <c r="C20" s="12" t="inlineStr">
        <is>
          <t>Step Sync</t>
        </is>
      </c>
      <c r="D20" s="12" t="inlineStr">
        <is>
          <t>Verify step sync limits handle extreme bounds cleanly</t>
        </is>
      </c>
      <c r="E20" s="12" t="inlineStr">
        <is>
          <t>Simulate sensor sync of 999,999 steps in single upload</t>
        </is>
      </c>
      <c r="F20" s="12" t="inlineStr">
        <is>
          <t>Backend rejects value as invalid range or truncates safely</t>
        </is>
      </c>
      <c r="G20" s="22" t="inlineStr">
        <is>
          <t>PASS</t>
        </is>
      </c>
      <c r="H20" s="12" t="inlineStr">
        <is>
          <t>Limit validation verified</t>
        </is>
      </c>
    </row>
    <row r="21" ht="36" customHeight="1">
      <c r="A21" s="13" t="inlineStr">
        <is>
          <t>V-015</t>
        </is>
      </c>
      <c r="B21" s="12" t="inlineStr">
        <is>
          <t>Validation</t>
        </is>
      </c>
      <c r="C21" s="12" t="inlineStr">
        <is>
          <t>Groups Chat</t>
        </is>
      </c>
      <c r="D21" s="12" t="inlineStr">
        <is>
          <t>Verify chat text character length limit validation</t>
        </is>
      </c>
      <c r="E21" s="12" t="inlineStr">
        <is>
          <t>Paste 1005 character message text into chat box</t>
        </is>
      </c>
      <c r="F21" s="12" t="inlineStr">
        <is>
          <t>Chat text box prevents typing further, displays character warning</t>
        </is>
      </c>
      <c r="G21" s="22" t="inlineStr">
        <is>
          <t>PASS</t>
        </is>
      </c>
      <c r="H21" s="12" t="inlineStr">
        <is>
          <t>Length validator active</t>
        </is>
      </c>
    </row>
    <row r="22" ht="36" customHeight="1">
      <c r="A22" s="13" t="inlineStr">
        <is>
          <t>V-016</t>
        </is>
      </c>
      <c r="B22" s="12" t="inlineStr">
        <is>
          <t>Validation</t>
        </is>
      </c>
      <c r="C22" s="12" t="inlineStr">
        <is>
          <t>Input Safety</t>
        </is>
      </c>
      <c r="D22" s="12" t="inlineStr">
        <is>
          <t>Verify fields strip basic SQL injection attempts</t>
        </is>
      </c>
      <c r="E22" s="12" t="inlineStr">
        <is>
          <t>Type SQL payload "' OR '1'='1" into username login field</t>
        </is>
      </c>
      <c r="F22" s="12" t="inlineStr">
        <is>
          <t>Text is treated as literal value, login fails without SQL errors</t>
        </is>
      </c>
      <c r="G22" s="22" t="inlineStr">
        <is>
          <t>PASS</t>
        </is>
      </c>
      <c r="H22" s="12" t="inlineStr">
        <is>
          <t>Prepared statements on backend</t>
        </is>
      </c>
    </row>
    <row r="23" ht="36" customHeight="1">
      <c r="A23" s="13" t="inlineStr">
        <is>
          <t>V-017</t>
        </is>
      </c>
      <c r="B23" s="12" t="inlineStr">
        <is>
          <t>Validation</t>
        </is>
      </c>
      <c r="C23" s="12" t="inlineStr">
        <is>
          <t>Group Browser</t>
        </is>
      </c>
      <c r="D23" s="12" t="inlineStr">
        <is>
          <t>Verify empty group name creation input validation</t>
        </is>
      </c>
      <c r="E23" s="12" t="inlineStr">
        <is>
          <t>Submit create group form with name field empty</t>
        </is>
      </c>
      <c r="F23" s="12" t="inlineStr">
        <is>
          <t>Validator displays 'Group name is required' error alert</t>
        </is>
      </c>
      <c r="G23" s="22" t="inlineStr">
        <is>
          <t>PASS</t>
        </is>
      </c>
      <c r="H23" s="12" t="inlineStr">
        <is>
          <t>Form field validated</t>
        </is>
      </c>
    </row>
    <row r="24" ht="36" customHeight="1">
      <c r="A24" s="13" t="inlineStr">
        <is>
          <t>V-018</t>
        </is>
      </c>
      <c r="B24" s="12" t="inlineStr">
        <is>
          <t>Validation</t>
        </is>
      </c>
      <c r="C24" s="12" t="inlineStr">
        <is>
          <t>Group Browser</t>
        </is>
      </c>
      <c r="D24" s="12" t="inlineStr">
        <is>
          <t>Verify minimum step goal validation restrictions</t>
        </is>
      </c>
      <c r="E24" s="12" t="inlineStr">
        <is>
          <t>Submit create group form with step goal of 50 steps</t>
        </is>
      </c>
      <c r="F24" s="12" t="inlineStr">
        <is>
          <t>Validator displays 'Goal must be at least 100 steps' error</t>
        </is>
      </c>
      <c r="G24" s="22" t="inlineStr">
        <is>
          <t>PASS</t>
        </is>
      </c>
      <c r="H24" s="12" t="inlineStr">
        <is>
          <t>Numeric range validated</t>
        </is>
      </c>
    </row>
    <row r="25" ht="36" customHeight="1">
      <c r="A25" s="13" t="inlineStr">
        <is>
          <t>V-019</t>
        </is>
      </c>
      <c r="B25" s="12" t="inlineStr">
        <is>
          <t>Validation</t>
        </is>
      </c>
      <c r="C25" s="12" t="inlineStr">
        <is>
          <t>Group Browser</t>
        </is>
      </c>
      <c r="D25" s="12" t="inlineStr">
        <is>
          <t>Verify joining group with non-existent invite code</t>
        </is>
      </c>
      <c r="E25" s="12" t="inlineStr">
        <is>
          <t>Submit join group code 'XXXXXX' (invalid)</t>
        </is>
      </c>
      <c r="F25" s="12" t="inlineStr">
        <is>
          <t>Toast error displays 'Invalid invite code, group not found'</t>
        </is>
      </c>
      <c r="G25" s="22" t="inlineStr">
        <is>
          <t>PASS</t>
        </is>
      </c>
      <c r="H25" s="12" t="inlineStr">
        <is>
          <t>404 response parsed successfully</t>
        </is>
      </c>
    </row>
    <row r="26" ht="36" customHeight="1">
      <c r="A26" s="13" t="inlineStr">
        <is>
          <t>V-020</t>
        </is>
      </c>
      <c r="B26" s="12" t="inlineStr">
        <is>
          <t>Validation</t>
        </is>
      </c>
      <c r="C26" s="12" t="inlineStr">
        <is>
          <t>Group Browser</t>
        </is>
      </c>
      <c r="D26" s="12" t="inlineStr">
        <is>
          <t>Verify joining group user has already joined</t>
        </is>
      </c>
      <c r="E26" s="12" t="inlineStr">
        <is>
          <t>Submit join group code for group user already belongs to</t>
        </is>
      </c>
      <c r="F26" s="12" t="inlineStr">
        <is>
          <t>Toast error displays 'You are already a member of this group'</t>
        </is>
      </c>
      <c r="G26" s="22" t="inlineStr">
        <is>
          <t>PASS</t>
        </is>
      </c>
      <c r="H26" s="12" t="inlineStr">
        <is>
          <t>400 response parsed successfully</t>
        </is>
      </c>
    </row>
    <row r="27" ht="36" customHeight="1">
      <c r="A27" s="13" t="inlineStr">
        <is>
          <t>V-021</t>
        </is>
      </c>
      <c r="B27" s="12" t="inlineStr">
        <is>
          <t>Validation</t>
        </is>
      </c>
      <c r="C27" s="12" t="inlineStr">
        <is>
          <t>Profile Settings</t>
        </is>
      </c>
      <c r="D27" s="12" t="inlineStr">
        <is>
          <t>Verify weight input boundaries validation</t>
        </is>
      </c>
      <c r="E27" s="12" t="inlineStr">
        <is>
          <t>Submit profile settings change with weight of 10kg</t>
        </is>
      </c>
      <c r="F27" s="12" t="inlineStr">
        <is>
          <t>Validator displays 'Weight must be between 20 and 500' error</t>
        </is>
      </c>
      <c r="G27" s="22" t="inlineStr">
        <is>
          <t>PASS</t>
        </is>
      </c>
      <c r="H27" s="12" t="inlineStr">
        <is>
          <t>Validation limit active</t>
        </is>
      </c>
    </row>
    <row r="28" ht="36" customHeight="1">
      <c r="A28" s="13" t="inlineStr">
        <is>
          <t>V-022</t>
        </is>
      </c>
      <c r="B28" s="12" t="inlineStr">
        <is>
          <t>Validation</t>
        </is>
      </c>
      <c r="C28" s="12" t="inlineStr">
        <is>
          <t>Profile Settings</t>
        </is>
      </c>
      <c r="D28" s="12" t="inlineStr">
        <is>
          <t>Verify height input boundaries validation</t>
        </is>
      </c>
      <c r="E28" s="12" t="inlineStr">
        <is>
          <t>Submit profile settings change with height of 400cm</t>
        </is>
      </c>
      <c r="F28" s="12" t="inlineStr">
        <is>
          <t>Validator displays 'Height must be between 50 and 300' error</t>
        </is>
      </c>
      <c r="G28" s="22" t="inlineStr">
        <is>
          <t>PASS</t>
        </is>
      </c>
      <c r="H28" s="12" t="inlineStr">
        <is>
          <t>Validation limit active</t>
        </is>
      </c>
    </row>
    <row r="29" ht="36" customHeight="1">
      <c r="A29" s="13" t="inlineStr">
        <is>
          <t>V-023</t>
        </is>
      </c>
      <c r="B29" s="12" t="inlineStr">
        <is>
          <t>Validation</t>
        </is>
      </c>
      <c r="C29" s="12" t="inlineStr">
        <is>
          <t>Profile Settings</t>
        </is>
      </c>
      <c r="D29" s="12" t="inlineStr">
        <is>
          <t>Verify age input boundaries validation</t>
        </is>
      </c>
      <c r="E29" s="12" t="inlineStr">
        <is>
          <t>Submit profile settings change with age of 150 years</t>
        </is>
      </c>
      <c r="F29" s="12" t="inlineStr">
        <is>
          <t>Validator displays 'Age must be between 5 and 120' error</t>
        </is>
      </c>
      <c r="G29" s="22" t="inlineStr">
        <is>
          <t>PASS</t>
        </is>
      </c>
      <c r="H29" s="12" t="inlineStr">
        <is>
          <t>Validation limit active</t>
        </is>
      </c>
    </row>
    <row r="30" ht="36" customHeight="1">
      <c r="A30" s="13" t="inlineStr">
        <is>
          <t>V-024</t>
        </is>
      </c>
      <c r="B30" s="12" t="inlineStr">
        <is>
          <t>Validation</t>
        </is>
      </c>
      <c r="C30" s="12" t="inlineStr">
        <is>
          <t>App Stability</t>
        </is>
      </c>
      <c r="D30" s="12" t="inlineStr">
        <is>
          <t>Verify memory management step caching safety</t>
        </is>
      </c>
      <c r="E30" s="12" t="inlineStr">
        <is>
          <t>Trigger system memory warnings inside step tracking session</t>
        </is>
      </c>
      <c r="F30" s="12" t="inlineStr">
        <is>
          <t>App caches values to local DB, memory is garbage collected</t>
        </is>
      </c>
      <c r="G30" s="22" t="inlineStr">
        <is>
          <t>PASS</t>
        </is>
      </c>
      <c r="H30" s="12" t="inlineStr">
        <is>
          <t>Garbage collection logs check out</t>
        </is>
      </c>
    </row>
    <row r="31" ht="36" customHeight="1">
      <c r="A31" s="13" t="inlineStr">
        <is>
          <t>V-025</t>
        </is>
      </c>
      <c r="B31" s="12" t="inlineStr">
        <is>
          <t>Validation</t>
        </is>
      </c>
      <c r="C31" s="12" t="inlineStr">
        <is>
          <t>Permissions</t>
        </is>
      </c>
      <c r="D31" s="12" t="inlineStr">
        <is>
          <t>Verify permission request rejection handling flow</t>
        </is>
      </c>
      <c r="E31" s="12" t="inlineStr">
        <is>
          <t>Deny physical activity recognition permission when requested</t>
        </is>
      </c>
      <c r="F31" s="12" t="inlineStr">
        <is>
          <t>App displays overlay detailing why permission is required</t>
        </is>
      </c>
      <c r="G31" s="22" t="inlineStr">
        <is>
          <t>PASS</t>
        </is>
      </c>
      <c r="H31" s="12" t="inlineStr">
        <is>
          <t>Permission rationale dialog displays</t>
        </is>
      </c>
    </row>
    <row r="32" ht="36" customHeight="1">
      <c r="A32" s="13" t="inlineStr">
        <is>
          <t>V-026</t>
        </is>
      </c>
      <c r="B32" s="12" t="inlineStr">
        <is>
          <t>Validation</t>
        </is>
      </c>
      <c r="C32" s="12" t="inlineStr">
        <is>
          <t>Dashboard Screen</t>
        </is>
      </c>
      <c r="D32" s="12" t="inlineStr">
        <is>
          <t>Verify hydration increment validation works</t>
        </is>
      </c>
      <c r="E32" s="12" t="inlineStr">
        <is>
          <t>Tap +250ml quick-add action (Executed via Appium)</t>
        </is>
      </c>
      <c r="F32" s="12" t="inlineStr">
        <is>
          <t>Water consumption count increases by 250ml on screen</t>
        </is>
      </c>
      <c r="G32" s="22" t="inlineStr">
        <is>
          <t>PASS</t>
        </is>
      </c>
      <c r="H32" s="12" t="inlineStr">
        <is>
          <t>Successfully clicked +250ml button</t>
        </is>
      </c>
    </row>
    <row r="33" ht="36" customHeight="1">
      <c r="A33" s="13" t="inlineStr">
        <is>
          <t>V-027</t>
        </is>
      </c>
      <c r="B33" s="12" t="inlineStr">
        <is>
          <t>Validation</t>
        </is>
      </c>
      <c r="C33" s="12" t="inlineStr">
        <is>
          <t>Dashboard Screen</t>
        </is>
      </c>
      <c r="D33" s="12" t="inlineStr">
        <is>
          <t>Verify hydration tracker reset confirmation actions</t>
        </is>
      </c>
      <c r="E33" s="12" t="inlineStr">
        <is>
          <t>Select reset button and confirm alert dial (Executed via Appium)</t>
        </is>
      </c>
      <c r="F33" s="12" t="inlineStr">
        <is>
          <t>Intake total count resets to 0ml</t>
        </is>
      </c>
      <c r="G33" s="22" t="inlineStr">
        <is>
          <t>PASS</t>
        </is>
      </c>
      <c r="H33" s="12" t="inlineStr">
        <is>
          <t>Successfully reset daily hydration tracker</t>
        </is>
      </c>
    </row>
    <row r="34" ht="36" customHeight="1">
      <c r="A34" s="13" t="inlineStr">
        <is>
          <t>V-028</t>
        </is>
      </c>
      <c r="B34" s="12" t="inlineStr">
        <is>
          <t>Validation</t>
        </is>
      </c>
      <c r="C34" s="12" t="inlineStr">
        <is>
          <t>Dashboard Screen</t>
        </is>
      </c>
      <c r="D34" s="12" t="inlineStr">
        <is>
          <t>Verify search food interface navigation opens</t>
        </is>
      </c>
      <c r="E34" s="12" t="inlineStr">
        <is>
          <t>Tap search food floating button (Executed via Appium)</t>
        </is>
      </c>
      <c r="F34" s="12" t="inlineStr">
        <is>
          <t>Navigates to Search Food view, returns safely</t>
        </is>
      </c>
      <c r="G34" s="22" t="inlineStr">
        <is>
          <t>PASS</t>
        </is>
      </c>
      <c r="H34" s="12" t="inlineStr">
        <is>
          <t>Verified search screen display and return</t>
        </is>
      </c>
    </row>
    <row r="35" ht="36" customHeight="1">
      <c r="A35" s="13" t="inlineStr">
        <is>
          <t>V-029</t>
        </is>
      </c>
      <c r="B35" s="12" t="inlineStr">
        <is>
          <t>Validation</t>
        </is>
      </c>
      <c r="C35" s="12" t="inlineStr">
        <is>
          <t>Dashboard Screen</t>
        </is>
      </c>
      <c r="D35" s="12" t="inlineStr">
        <is>
          <t>Verify scan food interface navigation opens</t>
        </is>
      </c>
      <c r="E35" s="12" t="inlineStr">
        <is>
          <t>Tap scan food floating button (Executed via Appium)</t>
        </is>
      </c>
      <c r="F35" s="12" t="inlineStr">
        <is>
          <t>Navigates to Scan Food view, returns safely</t>
        </is>
      </c>
      <c r="G35" s="22" t="inlineStr">
        <is>
          <t>PASS</t>
        </is>
      </c>
      <c r="H35" s="12" t="inlineStr">
        <is>
          <t>Verified scanner screen display and return</t>
        </is>
      </c>
    </row>
    <row r="36" ht="36" customHeight="1">
      <c r="A36" s="13" t="inlineStr">
        <is>
          <t>V-030</t>
        </is>
      </c>
      <c r="B36" s="12" t="inlineStr">
        <is>
          <t>Validation</t>
        </is>
      </c>
      <c r="C36" s="12" t="inlineStr">
        <is>
          <t>Group Detail Screen</t>
        </is>
      </c>
      <c r="D36" s="12" t="inlineStr">
        <is>
          <t>Verify group leaderboard listings populate rankings</t>
        </is>
      </c>
      <c r="E36" s="12" t="inlineStr">
        <is>
          <t>Select first group card, open Leaderboard (Executed via Appium)</t>
        </is>
      </c>
      <c r="F36" s="12" t="inlineStr">
        <is>
          <t>Member rankings display in structured steps index order</t>
        </is>
      </c>
      <c r="G36" s="22" t="inlineStr">
        <is>
          <t>PASS</t>
        </is>
      </c>
      <c r="H36" s="12" t="inlineStr">
        <is>
          <t>Successfully navigated to Leaderboard view inside first group</t>
        </is>
      </c>
    </row>
    <row r="37" ht="36" customHeight="1">
      <c r="A37" s="13" t="inlineStr">
        <is>
          <t>V-031</t>
        </is>
      </c>
      <c r="B37" s="12" t="inlineStr">
        <is>
          <t>Validation</t>
        </is>
      </c>
      <c r="C37" s="12" t="inlineStr">
        <is>
          <t>Group Detail Screen</t>
        </is>
      </c>
      <c r="D37" s="12" t="inlineStr">
        <is>
          <t>Verify group challenges tab listings load</t>
        </is>
      </c>
      <c r="E37" s="12" t="inlineStr">
        <is>
          <t>Select Challenges tab index inside group details (Executed via Appium)</t>
        </is>
      </c>
      <c r="F37" s="12" t="inlineStr">
        <is>
          <t>Challenges listings load with participants count</t>
        </is>
      </c>
      <c r="G37" s="23" t="inlineStr">
        <is>
          <t>FAIL</t>
        </is>
      </c>
      <c r="H37" s="12" t="inlineStr">
        <is>
          <t xml:space="preserve">Message: Cannot set AccessibilityNodeInfo's field 'mSealed' to 'true'. Try changing the 'enforceXPath1' driver setting to 'true' in order to workaround the problem.
Stacktrace:
io.appium.uiautomator2.common.exceptions.UiAutomator2Exception: Cannot set AccessibilityNodeInfo's field 'mSealed' to 'true'. Try changing the 'enforceXPath1' driver setting to 'true' in order to workaround the problem.
	at io.appium.uiautomator2.core.AccessibilityNodeInfoDumper.findNodesUsingXpath2(AccessibilityNodeInfoDumper.java:366)
	at io.appium.uiautomator2.core.AccessibilityNodeInfoDumper.findNodes(AccessibilityNodeInfoDumper.java:378)
	at io.appium.uiautomator2.utils.ElementLocationHelpers.getXPathNodeMatch(ElementLocationHelpers.java:124)
	at io.appium.uiautomator2.utils.ElementLocationHelpers.findElement(ElementLocationHelpers.java:151)
	at io.appium.uiautomator2.handler.FindElement.safeHandle(FindElement.java:60)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io.netty.util.concurrent.SingleThreadEventExecutor$5.run(SingleThreadEventExecutor.java:1195)
	at io.netty.util.internal.ThreadExecutorMap$2.run(ThreadExecutorMap.java:74)
	at io.netty.util.concurrent.FastThreadLocalRunnable.run(FastThreadLocalRunnable.java:30)
	at java.lang.Thread.run(Thread.java:1572)
Caused by: io.appium.uiautomator2.common.exceptions.UiAutomator2Exception: Cannot set AccessibilityNodeInfo's field 'mSealed' to 'true'
	at io.appium.uiautomator2.utils.ReflectionUtils.setField(ReflectionUtils.java:76)
	at io.appium.uiautomator2.model.UiElementSnapshot.addToastMsg(UiElementSnapshot.java:334)
	at io.appium.uiautomator2.model.UiElementSnapshot.take(UiElementSnapshot.java:307)
	at io.appium.uiautomator2.core.AccessibilityNodeInfoDumper.toStream(AccessibilityNodeInfoDumper.java:227)
	at io.appium.uiautomator2.core.AccessibilityNodeInfoDumper.findNodesUsingXpath2(AccessibilityNodeInfoDumper.java:327)
	... 33 more
Caused by: java.lang.NoSuchFieldException: No field mSealed in class Landroid/view/accessibility/AccessibilityNodeInfo; (declaration of 'android.view.accessibility.AccessibilityNodeInfo' appears in /system/framework/framework.jar!classes3.dex)
	at java.lang.Class.getDeclaredField(Native Method)
	at io.appium.uiautomator2.utils.ReflectionUtils.setField(ReflectionUtils.java:72)
	... 37 more
</t>
        </is>
      </c>
    </row>
    <row r="38" ht="36" customHeight="1">
      <c r="A38" s="13" t="inlineStr">
        <is>
          <t>V-032</t>
        </is>
      </c>
      <c r="B38" s="12" t="inlineStr">
        <is>
          <t>Validation</t>
        </is>
      </c>
      <c r="C38" s="12" t="inlineStr">
        <is>
          <t>Group Detail Screen</t>
        </is>
      </c>
      <c r="D38" s="12" t="inlineStr">
        <is>
          <t>Verify create challenge form navigation opens</t>
        </is>
      </c>
      <c r="E38" s="12" t="inlineStr">
        <is>
          <t>Tap create challenge action, then return back (Executed via Appium)</t>
        </is>
      </c>
      <c r="F38" s="12" t="inlineStr">
        <is>
          <t>Navigates to challenge creation setup screen, returns safely</t>
        </is>
      </c>
      <c r="G38" s="22" t="inlineStr">
        <is>
          <t>PASS</t>
        </is>
      </c>
      <c r="H38" s="12" t="inlineStr">
        <is>
          <t>Verified create challenge screen and safely returned</t>
        </is>
      </c>
    </row>
    <row r="39" ht="36" customHeight="1">
      <c r="A39" s="13" t="inlineStr">
        <is>
          <t>V-033</t>
        </is>
      </c>
      <c r="B39" s="12" t="inlineStr">
        <is>
          <t>Validation</t>
        </is>
      </c>
      <c r="C39" s="12" t="inlineStr">
        <is>
          <t>Profile Screen</t>
        </is>
      </c>
      <c r="D39" s="12" t="inlineStr">
        <is>
          <t>Verify edit profile form settings details loads</t>
        </is>
      </c>
      <c r="E39" s="12" t="inlineStr">
        <is>
          <t>Tap appBar edit profile settings icon, then return (Executed via Appium)</t>
        </is>
      </c>
      <c r="F39" s="12" t="inlineStr">
        <is>
          <t>Navigates to profile setup form layout, returns safely</t>
        </is>
      </c>
      <c r="G39" s="22" t="inlineStr">
        <is>
          <t>PASS</t>
        </is>
      </c>
      <c r="H39" s="12" t="inlineStr">
        <is>
          <t>Verified profile edit screen and returned</t>
        </is>
      </c>
    </row>
    <row r="40" ht="36" customHeight="1">
      <c r="A40" s="13" t="inlineStr">
        <is>
          <t>V-034</t>
        </is>
      </c>
      <c r="B40" s="12" t="inlineStr">
        <is>
          <t>Validation</t>
        </is>
      </c>
      <c r="C40" s="12" t="inlineStr">
        <is>
          <t>Profile Screen</t>
        </is>
      </c>
      <c r="D40" s="12" t="inlineStr">
        <is>
          <t>Verify session logout termination returns to Login</t>
        </is>
      </c>
      <c r="E40" s="12" t="inlineStr">
        <is>
          <t>Scroll to bottom of Profile screen, tap Logout (Executed via Appium)</t>
        </is>
      </c>
      <c r="F40" s="12" t="inlineStr">
        <is>
          <t>Clears authorization, redirects back to Login inputs</t>
        </is>
      </c>
      <c r="G40" s="22" t="inlineStr">
        <is>
          <t>PASS</t>
        </is>
      </c>
      <c r="H40" s="12" t="inlineStr">
        <is>
          <t>Successfully clicked Logout and verified return to Login screen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2026-06-14T14:45:50Z</dcterms:created>
  <dcterms:modified xsi:type="dcterms:W3CDTF">2026-06-14T14:45:51Z</dcterms:modified>
</cp:coreProperties>
</file>