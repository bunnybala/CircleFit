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it Testing" sheetId="2" state="visible" r:id="rId2"/>
    <sheet name="UI-UX Testing" sheetId="3" state="visible" r:id="rId3"/>
    <sheet name="Functional Testing" sheetId="4" state="visible" r:id="rId4"/>
    <sheet name="Validation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55555"/>
      <sz val="10"/>
    </font>
    <font>
      <name val="Segoe UI"/>
      <b val="1"/>
      <color rgb="008D99AE"/>
      <sz val="9"/>
    </font>
    <font>
      <name val="Segoe UI"/>
      <b val="1"/>
      <color rgb="002B2D42"/>
      <sz val="16"/>
    </font>
    <font>
      <name val="Segoe UI"/>
      <b val="1"/>
      <color rgb="001B4332"/>
      <sz val="16"/>
    </font>
    <font>
      <name val="Segoe UI"/>
      <b val="1"/>
      <color rgb="00721C24"/>
      <sz val="16"/>
    </font>
    <font>
      <name val="Segoe UI"/>
      <b val="1"/>
      <color rgb="00FFFFFF"/>
      <sz val="9"/>
    </font>
    <font>
      <name val="Segoe UI"/>
      <b val="1"/>
      <color rgb="003F3D56"/>
      <sz val="11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333333"/>
      <sz val="10"/>
    </font>
    <font>
      <name val="Segoe UI"/>
      <b val="1"/>
      <color rgb="001B4332"/>
      <sz val="10"/>
    </font>
  </fonts>
  <fills count="8">
    <fill>
      <patternFill/>
    </fill>
    <fill>
      <patternFill patternType="gray125"/>
    </fill>
    <fill>
      <patternFill patternType="solid">
        <fgColor rgb="006C63FF"/>
        <bgColor rgb="006C63FF"/>
      </patternFill>
    </fill>
    <fill>
      <patternFill patternType="solid">
        <fgColor rgb="00F8F9FA"/>
        <bgColor rgb="00F8F9FA"/>
      </patternFill>
    </fill>
    <fill>
      <patternFill patternType="solid">
        <fgColor rgb="002D6A4F"/>
        <bgColor rgb="002D6A4F"/>
      </patternFill>
    </fill>
    <fill>
      <patternFill patternType="solid">
        <fgColor rgb="00F4F3FF"/>
        <bgColor rgb="00F4F3FF"/>
      </patternFill>
    </fill>
    <fill>
      <patternFill patternType="solid">
        <fgColor rgb="00EAE8FF"/>
        <bgColor rgb="00EAE8FF"/>
      </patternFill>
    </fill>
    <fill>
      <patternFill patternType="solid">
        <fgColor rgb="00D4EDDA"/>
        <bgColor rgb="00D4EDDA"/>
      </patternFill>
    </fill>
  </fills>
  <borders count="4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medium">
        <color rgb="004B44D4"/>
      </bottom>
    </border>
    <border>
      <top style="double">
        <color rgb="003F3D56"/>
      </top>
      <bottom style="double">
        <color rgb="003F3D5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2" borderId="2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left" vertical="center" wrapText="1"/>
    </xf>
    <xf numFmtId="0" fontId="11" fillId="6" borderId="3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5" customWidth="1" min="5" max="5"/>
    <col width="20" customWidth="1" min="6" max="6"/>
    <col width="70" customWidth="1" min="7" max="7"/>
  </cols>
  <sheetData>
    <row r="1" ht="20" customHeight="1">
      <c r="A1" s="1" t="inlineStr">
        <is>
          <t>CircleFit — Comprehensive Web Quality Dashboard</t>
        </is>
      </c>
    </row>
    <row r="2" ht="20" customHeight="1"/>
    <row r="3">
      <c r="A3" s="2" t="inlineStr">
        <is>
          <t>Quality metrics aggregated from automated Selenium Chrome runs and validation checks</t>
        </is>
      </c>
    </row>
    <row r="4" ht="18" customHeight="1">
      <c r="A4" s="3" t="inlineStr">
        <is>
          <t>TOTAL TESTS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PASS RATE</t>
        </is>
      </c>
      <c r="E4" s="4" t="inlineStr">
        <is>
          <t>STATUS</t>
        </is>
      </c>
    </row>
    <row r="5" ht="18" customHeight="1">
      <c r="A5" s="5">
        <f>B15</f>
        <v/>
      </c>
      <c r="B5" s="6">
        <f>C15</f>
        <v/>
      </c>
      <c r="C5" s="7">
        <f>D15</f>
        <v/>
      </c>
      <c r="D5" s="8">
        <f>E15</f>
        <v/>
      </c>
      <c r="E5" s="9">
        <f>IF(E15&gt;=0.95, "DEPLOYABLE", "REJECTED")</f>
        <v/>
      </c>
    </row>
    <row r="6" ht="18" customHeight="1"/>
    <row r="8">
      <c r="A8" s="10" t="inlineStr">
        <is>
          <t>TEST CATEGORIES BREAKDOWN</t>
        </is>
      </c>
    </row>
    <row r="10" ht="28" customHeight="1">
      <c r="A10" s="11" t="inlineStr">
        <is>
          <t>Test Category</t>
        </is>
      </c>
      <c r="B10" s="11" t="inlineStr">
        <is>
          <t>Total Cases</t>
        </is>
      </c>
      <c r="C10" s="11" t="inlineStr">
        <is>
          <t>Passed</t>
        </is>
      </c>
      <c r="D10" s="11" t="inlineStr">
        <is>
          <t>Failed</t>
        </is>
      </c>
      <c r="E10" s="11" t="inlineStr">
        <is>
          <t>Success Rate</t>
        </is>
      </c>
      <c r="F10" s="11" t="inlineStr">
        <is>
          <t>Reference Sheet</t>
        </is>
      </c>
      <c r="G10" s="11" t="inlineStr">
        <is>
          <t>Description</t>
        </is>
      </c>
    </row>
    <row r="11" ht="24" customHeight="1">
      <c r="A11" s="12" t="inlineStr">
        <is>
          <t>Unit Testing</t>
        </is>
      </c>
      <c r="B11" s="13">
        <f>COUNTA('Unit Testing'!A7:A32)</f>
        <v/>
      </c>
      <c r="C11" s="13">
        <f>COUNTIF('Unit Testing'!G7:G32, "PASS")</f>
        <v/>
      </c>
      <c r="D11" s="13">
        <f>COUNTIF('Unit Testing'!G7:G32, "FAIL")</f>
        <v/>
      </c>
      <c r="E11" s="14">
        <f>IF(B11&gt;0, C11/B11, 0)</f>
        <v/>
      </c>
      <c r="F11" s="13" t="inlineStr">
        <is>
          <t>Unit Testing</t>
        </is>
      </c>
      <c r="G11" s="12" t="inlineStr">
        <is>
          <t>Verifies web app state management, form text validation, BMR/BMI calculations, steps math, and token headers.</t>
        </is>
      </c>
    </row>
    <row r="12" ht="24" customHeight="1">
      <c r="A12" s="15" t="inlineStr">
        <is>
          <t>UI-UX Testing</t>
        </is>
      </c>
      <c r="B12" s="16">
        <f>COUNTA('UI-UX Testing'!A7:A34)</f>
        <v/>
      </c>
      <c r="C12" s="16">
        <f>COUNTIF('UI-UX Testing'!G7:G34, "PASS")</f>
        <v/>
      </c>
      <c r="D12" s="16">
        <f>COUNTIF('UI-UX Testing'!G7:G34, "FAIL")</f>
        <v/>
      </c>
      <c r="E12" s="17">
        <f>IF(B12&gt;0, C12/B12, 0)</f>
        <v/>
      </c>
      <c r="F12" s="16" t="inlineStr">
        <is>
          <t>UI-UX Testing</t>
        </is>
      </c>
      <c r="G12" s="15" t="inlineStr">
        <is>
          <t>Verifies visual responsiveness, CSS grid layouts, radial progress gauges, theme transitions, contrast ratios, and hovering states.</t>
        </is>
      </c>
    </row>
    <row r="13" ht="24" customHeight="1">
      <c r="A13" s="12" t="inlineStr">
        <is>
          <t>Functional Testing</t>
        </is>
      </c>
      <c r="B13" s="13">
        <f>COUNTA('Functional Testing'!A7:A34)</f>
        <v/>
      </c>
      <c r="C13" s="13">
        <f>COUNTIF('Functional Testing'!G7:G34, "PASS")</f>
        <v/>
      </c>
      <c r="D13" s="13">
        <f>COUNTIF('Functional Testing'!G7:G34, "FAIL")</f>
        <v/>
      </c>
      <c r="E13" s="14">
        <f>IF(B13&gt;0, C13/B13, 0)</f>
        <v/>
      </c>
      <c r="F13" s="13" t="inlineStr">
        <is>
          <t>Functional Testing</t>
        </is>
      </c>
      <c r="G13" s="12" t="inlineStr">
        <is>
          <t>Verifies web user endpoints (Sign Up, Login, Dashboard, Nutrition Search, Barcode Presets, STOMP chat groups, Profile settings edits, Logout).</t>
        </is>
      </c>
    </row>
    <row r="14" ht="24" customHeight="1">
      <c r="A14" s="15" t="inlineStr">
        <is>
          <t>Validation Testing</t>
        </is>
      </c>
      <c r="B14" s="16">
        <f>COUNTA('Validation Testing'!A7:A40)</f>
        <v/>
      </c>
      <c r="C14" s="16">
        <f>COUNTIF('Validation Testing'!G7:G40, "PASS")</f>
        <v/>
      </c>
      <c r="D14" s="16">
        <f>COUNTIF('Validation Testing'!G7:G40, "FAIL")</f>
        <v/>
      </c>
      <c r="E14" s="17">
        <f>IF(B14&gt;0, C14/B14, 0)</f>
        <v/>
      </c>
      <c r="F14" s="16" t="inlineStr">
        <is>
          <t>Validation Testing</t>
        </is>
      </c>
      <c r="G14" s="15" t="inlineStr">
        <is>
          <t>Verifies inputs validations warnings, duplicate profile fields checks, Axios timeout recovery, SQL/XSS block, and profile height/weight ranges.</t>
        </is>
      </c>
    </row>
    <row r="15" ht="24" customHeight="1">
      <c r="A15" s="18" t="inlineStr">
        <is>
          <t>Total</t>
        </is>
      </c>
      <c r="B15" s="19">
        <f>SUM(B11:B14)</f>
        <v/>
      </c>
      <c r="C15" s="19">
        <f>SUM(C11:C14)</f>
        <v/>
      </c>
      <c r="D15" s="19">
        <f>SUM(D11:D14)</f>
        <v/>
      </c>
      <c r="E15" s="20">
        <f>IF(B15&gt;0, C15/B15, 0)</f>
        <v/>
      </c>
      <c r="F15" s="19" t="inlineStr">
        <is>
          <t>All Sheets</t>
        </is>
      </c>
      <c r="G15" s="18" t="inlineStr">
        <is>
          <t>Combined summary of all React web application quality test runs.</t>
        </is>
      </c>
    </row>
  </sheetData>
  <mergeCells count="7">
    <mergeCell ref="A5:A6"/>
    <mergeCell ref="A1:G2"/>
    <mergeCell ref="A3:G3"/>
    <mergeCell ref="E5:G6"/>
    <mergeCell ref="D5:D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Web Unit Testing Suite</t>
        </is>
      </c>
    </row>
    <row r="2">
      <c r="A2" s="2" t="inlineStr">
        <is>
          <t>Selenium Chrome Web Automated Test Executions  |  Category: Unit Testing</t>
        </is>
      </c>
    </row>
    <row r="4" ht="24" customHeight="1">
      <c r="A4" s="21">
        <f>CONCATENATE("Total Cases: ", COUNTA(A7:A32), "   |   Passed: ", COUNTIF(G7:G32, "PASS"), "   |   Failed: ", COUNTIF(G7:G32, "FAIL"), "   |   Success Rate: ", TEXT(IF(COUNTA(A7:A32)&gt;0, COUNTIF(G7:G32, "PASS")/COUNTA(A7:A32),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U-001</t>
        </is>
      </c>
      <c r="B7" s="12" t="inlineStr">
        <is>
          <t>Authentication</t>
        </is>
      </c>
      <c r="C7" s="12" t="inlineStr">
        <is>
          <t>State Manager</t>
        </is>
      </c>
      <c r="D7" s="12" t="inlineStr">
        <is>
          <t>Verify initial Auth state is unauthenticated on client launch</t>
        </is>
      </c>
      <c r="E7" s="12" t="inlineStr">
        <is>
          <t>Read token from localStorage on boot</t>
        </is>
      </c>
      <c r="F7" s="12" t="inlineStr">
        <is>
          <t>State equals unauthenticated, token is null</t>
        </is>
      </c>
      <c r="G7" s="22" t="inlineStr">
        <is>
          <t>PASS</t>
        </is>
      </c>
      <c r="H7" s="12" t="inlineStr">
        <is>
          <t>Validated by localStorage state checks</t>
        </is>
      </c>
    </row>
    <row r="8" ht="36" customHeight="1">
      <c r="A8" s="13" t="inlineStr">
        <is>
          <t>U-002</t>
        </is>
      </c>
      <c r="B8" s="12" t="inlineStr">
        <is>
          <t>Authentication</t>
        </is>
      </c>
      <c r="C8" s="12" t="inlineStr">
        <is>
          <t>State Manager</t>
        </is>
      </c>
      <c r="D8" s="12" t="inlineStr">
        <is>
          <t>Verify client state transitions to authenticated on valid token write</t>
        </is>
      </c>
      <c r="E8" s="12" t="inlineStr">
        <is>
          <t>Write JWT token to localStorage</t>
        </is>
      </c>
      <c r="F8" s="12" t="inlineStr">
        <is>
          <t>State changes to authenticated and loads header</t>
        </is>
      </c>
      <c r="G8" s="22" t="inlineStr">
        <is>
          <t>PASS</t>
        </is>
      </c>
      <c r="H8" s="12" t="inlineStr">
        <is>
          <t>Token saved in storage successfully</t>
        </is>
      </c>
    </row>
    <row r="9" ht="36" customHeight="1">
      <c r="A9" s="13" t="inlineStr">
        <is>
          <t>U-003</t>
        </is>
      </c>
      <c r="B9" s="12" t="inlineStr">
        <is>
          <t>Authentication</t>
        </is>
      </c>
      <c r="C9" s="12" t="inlineStr">
        <is>
          <t>State Manager</t>
        </is>
      </c>
      <c r="D9" s="12" t="inlineStr">
        <is>
          <t>Verify client auth state resets to default on logout</t>
        </is>
      </c>
      <c r="E9" s="12" t="inlineStr">
        <is>
          <t>Call handleLogout and clear localStorage</t>
        </is>
      </c>
      <c r="F9" s="12" t="inlineStr">
        <is>
          <t>Token cleared, routing redirected to login view</t>
        </is>
      </c>
      <c r="G9" s="22" t="inlineStr">
        <is>
          <t>PASS</t>
        </is>
      </c>
      <c r="H9" s="12" t="inlineStr">
        <is>
          <t>Auth states wiped successfully</t>
        </is>
      </c>
    </row>
    <row r="10" ht="36" customHeight="1">
      <c r="A10" s="13" t="inlineStr">
        <is>
          <t>U-004</t>
        </is>
      </c>
      <c r="B10" s="12" t="inlineStr">
        <is>
          <t>Authentication</t>
        </is>
      </c>
      <c r="C10" s="12" t="inlineStr">
        <is>
          <t>Helper Validator</t>
        </is>
      </c>
      <c r="D10" s="12" t="inlineStr">
        <is>
          <t>Verify email validator rejects empty or missing '@' values</t>
        </is>
      </c>
      <c r="E10" s="12" t="inlineStr">
        <is>
          <t>Call validateEmail('testemail')</t>
        </is>
      </c>
      <c r="F10" s="12" t="inlineStr">
        <is>
          <t>Returns validation error description string</t>
        </is>
      </c>
      <c r="G10" s="22" t="inlineStr">
        <is>
          <t>PASS</t>
        </is>
      </c>
      <c r="H10" s="12" t="inlineStr">
        <is>
          <t>Email format validator checked</t>
        </is>
      </c>
    </row>
    <row r="11" ht="36" customHeight="1">
      <c r="A11" s="13" t="inlineStr">
        <is>
          <t>U-005</t>
        </is>
      </c>
      <c r="B11" s="12" t="inlineStr">
        <is>
          <t>Authentication</t>
        </is>
      </c>
      <c r="C11" s="12" t="inlineStr">
        <is>
          <t>Helper Validator</t>
        </is>
      </c>
      <c r="D11" s="12" t="inlineStr">
        <is>
          <t>Verify email validator accepts valid standard email formats</t>
        </is>
      </c>
      <c r="E11" s="12" t="inlineStr">
        <is>
          <t>Call validateEmail('test@circlefit.com')</t>
        </is>
      </c>
      <c r="F11" s="12" t="inlineStr">
        <is>
          <t>Returns null indicating validation success</t>
        </is>
      </c>
      <c r="G11" s="22" t="inlineStr">
        <is>
          <t>PASS</t>
        </is>
      </c>
      <c r="H11" s="12" t="inlineStr">
        <is>
          <t>Correctly accepted email format</t>
        </is>
      </c>
    </row>
    <row r="12" ht="36" customHeight="1">
      <c r="A12" s="13" t="inlineStr">
        <is>
          <t>U-006</t>
        </is>
      </c>
      <c r="B12" s="12" t="inlineStr">
        <is>
          <t>Authentication</t>
        </is>
      </c>
      <c r="C12" s="12" t="inlineStr">
        <is>
          <t>Helper Validator</t>
        </is>
      </c>
      <c r="D12" s="12" t="inlineStr">
        <is>
          <t>Verify password strength checks reject lengths &lt; 6 characters</t>
        </is>
      </c>
      <c r="E12" s="12" t="inlineStr">
        <is>
          <t>Check password input characters count</t>
        </is>
      </c>
      <c r="F12" s="12" t="inlineStr">
        <is>
          <t>Returns length requirement validation message</t>
        </is>
      </c>
      <c r="G12" s="22" t="inlineStr">
        <is>
          <t>PASS</t>
        </is>
      </c>
      <c r="H12" s="12" t="inlineStr">
        <is>
          <t>Length constraint verified</t>
        </is>
      </c>
    </row>
    <row r="13" ht="36" customHeight="1">
      <c r="A13" s="13" t="inlineStr">
        <is>
          <t>U-007</t>
        </is>
      </c>
      <c r="B13" s="12" t="inlineStr">
        <is>
          <t>Authentication</t>
        </is>
      </c>
      <c r="C13" s="12" t="inlineStr">
        <is>
          <t>Helper Validator</t>
        </is>
      </c>
      <c r="D13" s="12" t="inlineStr">
        <is>
          <t>Verify username validation rejects special symbols</t>
        </is>
      </c>
      <c r="E13" s="12" t="inlineStr">
        <is>
          <t>Check username 'user!@#'</t>
        </is>
      </c>
      <c r="F13" s="12" t="inlineStr">
        <is>
          <t>Returns alphanumeric constraint message</t>
        </is>
      </c>
      <c r="G13" s="22" t="inlineStr">
        <is>
          <t>PASS</t>
        </is>
      </c>
      <c r="H13" s="12" t="inlineStr">
        <is>
          <t>RegEx alphanumeric matched</t>
        </is>
      </c>
    </row>
    <row r="14" ht="36" customHeight="1">
      <c r="A14" s="13" t="inlineStr">
        <is>
          <t>U-008</t>
        </is>
      </c>
      <c r="B14" s="12" t="inlineStr">
        <is>
          <t>Nutrition &amp; Energy</t>
        </is>
      </c>
      <c r="C14" s="12" t="inlineStr">
        <is>
          <t>BMR Math Calc</t>
        </is>
      </c>
      <c r="D14" s="12" t="inlineStr">
        <is>
          <t>Verify Male BMR calculation accuracy via MSJ equation</t>
        </is>
      </c>
      <c r="E14" s="12" t="inlineStr">
        <is>
          <t>Call BMRCalculator.calculate(30, 180, 80, 'Male')</t>
        </is>
      </c>
      <c r="F14" s="12" t="inlineStr">
        <is>
          <t>Returns correct baseline estimated BMR value</t>
        </is>
      </c>
      <c r="G14" s="22" t="inlineStr">
        <is>
          <t>PASS</t>
        </is>
      </c>
      <c r="H14" s="12" t="inlineStr">
        <is>
          <t>Male equation values checked</t>
        </is>
      </c>
    </row>
    <row r="15" ht="36" customHeight="1">
      <c r="A15" s="13" t="inlineStr">
        <is>
          <t>U-009</t>
        </is>
      </c>
      <c r="B15" s="12" t="inlineStr">
        <is>
          <t>Nutrition &amp; Energy</t>
        </is>
      </c>
      <c r="C15" s="12" t="inlineStr">
        <is>
          <t>BMR Math Calc</t>
        </is>
      </c>
      <c r="D15" s="12" t="inlineStr">
        <is>
          <t>Verify Female BMR calculation accuracy via MSJ equation</t>
        </is>
      </c>
      <c r="E15" s="12" t="inlineStr">
        <is>
          <t>Call BMRCalculator.calculate(30, 160, 60, 'Female')</t>
        </is>
      </c>
      <c r="F15" s="12" t="inlineStr">
        <is>
          <t>Returns correct baseline estimated BMR value</t>
        </is>
      </c>
      <c r="G15" s="22" t="inlineStr">
        <is>
          <t>PASS</t>
        </is>
      </c>
      <c r="H15" s="12" t="inlineStr">
        <is>
          <t>Female equation values checked</t>
        </is>
      </c>
    </row>
    <row r="16" ht="36" customHeight="1">
      <c r="A16" s="13" t="inlineStr">
        <is>
          <t>U-010</t>
        </is>
      </c>
      <c r="B16" s="12" t="inlineStr">
        <is>
          <t>Nutrition &amp; Energy</t>
        </is>
      </c>
      <c r="C16" s="12" t="inlineStr">
        <is>
          <t>BMI Calculation</t>
        </is>
      </c>
      <c r="D16" s="12" t="inlineStr">
        <is>
          <t>Verify BMI scale index returns correct category labels</t>
        </is>
      </c>
      <c r="E16" s="12" t="inlineStr">
        <is>
          <t>Evaluate BMI value of 22.5</t>
        </is>
      </c>
      <c r="F16" s="12" t="inlineStr">
        <is>
          <t>Returns 'Normal' weight category type</t>
        </is>
      </c>
      <c r="G16" s="22" t="inlineStr">
        <is>
          <t>PASS</t>
        </is>
      </c>
      <c r="H16" s="12" t="inlineStr">
        <is>
          <t>BMI category index checked</t>
        </is>
      </c>
    </row>
    <row r="17" ht="36" customHeight="1">
      <c r="A17" s="13" t="inlineStr">
        <is>
          <t>U-011</t>
        </is>
      </c>
      <c r="B17" s="12" t="inlineStr">
        <is>
          <t>Nutrition &amp; Energy</t>
        </is>
      </c>
      <c r="C17" s="12" t="inlineStr">
        <is>
          <t>BMI Calculation</t>
        </is>
      </c>
      <c r="D17" s="12" t="inlineStr">
        <is>
          <t>Verify BMI obese category bounds evaluation</t>
        </is>
      </c>
      <c r="E17" s="12" t="inlineStr">
        <is>
          <t>Evaluate BMI value of 32.1</t>
        </is>
      </c>
      <c r="F17" s="12" t="inlineStr">
        <is>
          <t>Returns 'Obese' category type and red colors</t>
        </is>
      </c>
      <c r="G17" s="22" t="inlineStr">
        <is>
          <t>PASS</t>
        </is>
      </c>
      <c r="H17" s="12" t="inlineStr">
        <is>
          <t>Obese threshold matched</t>
        </is>
      </c>
    </row>
    <row r="18" ht="36" customHeight="1">
      <c r="A18" s="13" t="inlineStr">
        <is>
          <t>U-012</t>
        </is>
      </c>
      <c r="B18" s="12" t="inlineStr">
        <is>
          <t>Step Tracking</t>
        </is>
      </c>
      <c r="C18" s="12" t="inlineStr">
        <is>
          <t>Calculations</t>
        </is>
      </c>
      <c r="D18" s="12" t="inlineStr">
        <is>
          <t>Verify step to distance metrics conversion formulas</t>
        </is>
      </c>
      <c r="E18" s="12" t="inlineStr">
        <is>
          <t>Convert 1000 steps to distance</t>
        </is>
      </c>
      <c r="F18" s="12" t="inlineStr">
        <is>
          <t>Returns 0.762 kilometers (1000 * 0.000762)</t>
        </is>
      </c>
      <c r="G18" s="22" t="inlineStr">
        <is>
          <t>PASS</t>
        </is>
      </c>
      <c r="H18" s="12" t="inlineStr">
        <is>
          <t>Distance math formula validated</t>
        </is>
      </c>
    </row>
    <row r="19" ht="36" customHeight="1">
      <c r="A19" s="13" t="inlineStr">
        <is>
          <t>U-013</t>
        </is>
      </c>
      <c r="B19" s="12" t="inlineStr">
        <is>
          <t>Step Tracking</t>
        </is>
      </c>
      <c r="C19" s="12" t="inlineStr">
        <is>
          <t>Calculations</t>
        </is>
      </c>
      <c r="D19" s="12" t="inlineStr">
        <is>
          <t>Verify step to calories burned metric conversions</t>
        </is>
      </c>
      <c r="E19" s="12" t="inlineStr">
        <is>
          <t>Convert 1000 steps to active calories</t>
        </is>
      </c>
      <c r="F19" s="12" t="inlineStr">
        <is>
          <t>Returns 40.0 kcal (1000 * 0.04)</t>
        </is>
      </c>
      <c r="G19" s="22" t="inlineStr">
        <is>
          <t>PASS</t>
        </is>
      </c>
      <c r="H19" s="12" t="inlineStr">
        <is>
          <t>Calorie math formula validated</t>
        </is>
      </c>
    </row>
    <row r="20" ht="36" customHeight="1">
      <c r="A20" s="13" t="inlineStr">
        <is>
          <t>U-014</t>
        </is>
      </c>
      <c r="B20" s="12" t="inlineStr">
        <is>
          <t>Step Tracking</t>
        </is>
      </c>
      <c r="C20" s="12" t="inlineStr">
        <is>
          <t>Data Matching</t>
        </is>
      </c>
      <c r="D20" s="12" t="inlineStr">
        <is>
          <t>Verify date parser matches server timestamps correctly</t>
        </is>
      </c>
      <c r="E20" s="12" t="inlineStr">
        <is>
          <t>Parse date string '2026-06-16T12:00:00Z'</t>
        </is>
      </c>
      <c r="F20" s="12" t="inlineStr">
        <is>
          <t>Returns local formatted Date instance</t>
        </is>
      </c>
      <c r="G20" s="22" t="inlineStr">
        <is>
          <t>PASS</t>
        </is>
      </c>
      <c r="H20" s="12" t="inlineStr">
        <is>
          <t>Timestamp matches successfully</t>
        </is>
      </c>
    </row>
    <row r="21" ht="36" customHeight="1">
      <c r="A21" s="13" t="inlineStr">
        <is>
          <t>U-015</t>
        </is>
      </c>
      <c r="B21" s="12" t="inlineStr">
        <is>
          <t>Step Tracking</t>
        </is>
      </c>
      <c r="C21" s="12" t="inlineStr">
        <is>
          <t>Data Matching</t>
        </is>
      </c>
      <c r="D21" s="12" t="inlineStr">
        <is>
          <t>Verify date formatting utility builds YYYY-MM-DD keys</t>
        </is>
      </c>
      <c r="E21" s="12" t="inlineStr">
        <is>
          <t>Format Date object for today</t>
        </is>
      </c>
      <c r="F21" s="12" t="inlineStr">
        <is>
          <t>Returns dash separated string '2026-06-16'</t>
        </is>
      </c>
      <c r="G21" s="22" t="inlineStr">
        <is>
          <t>PASS</t>
        </is>
      </c>
      <c r="H21" s="12" t="inlineStr">
        <is>
          <t>Dash formatting success</t>
        </is>
      </c>
    </row>
    <row r="22" ht="36" customHeight="1">
      <c r="A22" s="13" t="inlineStr">
        <is>
          <t>U-016</t>
        </is>
      </c>
      <c r="B22" s="12" t="inlineStr">
        <is>
          <t>Network Client</t>
        </is>
      </c>
      <c r="C22" s="12" t="inlineStr">
        <is>
          <t>Axios Interceptor</t>
        </is>
      </c>
      <c r="D22" s="12" t="inlineStr">
        <is>
          <t>Verify Authorization header injection when token is stored</t>
        </is>
      </c>
      <c r="E22" s="12" t="inlineStr">
        <is>
          <t>Call apiClient.get('/profile')</t>
        </is>
      </c>
      <c r="F22" s="12" t="inlineStr">
        <is>
          <t>Request headers contain 'Bearer jwt_token'</t>
        </is>
      </c>
      <c r="G22" s="22" t="inlineStr">
        <is>
          <t>PASS</t>
        </is>
      </c>
      <c r="H22" s="12" t="inlineStr">
        <is>
          <t>Interceptors injected auth headers</t>
        </is>
      </c>
    </row>
    <row r="23" ht="36" customHeight="1">
      <c r="A23" s="13" t="inlineStr">
        <is>
          <t>U-017</t>
        </is>
      </c>
      <c r="B23" s="12" t="inlineStr">
        <is>
          <t>Network Client</t>
        </is>
      </c>
      <c r="C23" s="12" t="inlineStr">
        <is>
          <t>Axios Interceptor</t>
        </is>
      </c>
      <c r="D23" s="12" t="inlineStr">
        <is>
          <t>Verify request header exclusion when token is empty</t>
        </is>
      </c>
      <c r="E23" s="12" t="inlineStr">
        <is>
          <t>Call logout and trigger subsequent requests</t>
        </is>
      </c>
      <c r="F23" s="12" t="inlineStr">
        <is>
          <t>Request headers exclude 'Authorization' properties</t>
        </is>
      </c>
      <c r="G23" s="22" t="inlineStr">
        <is>
          <t>PASS</t>
        </is>
      </c>
      <c r="H23" s="12" t="inlineStr">
        <is>
          <t>Auth headers cleared successfully</t>
        </is>
      </c>
    </row>
    <row r="24" ht="36" customHeight="1">
      <c r="A24" s="13" t="inlineStr">
        <is>
          <t>U-018</t>
        </is>
      </c>
      <c r="B24" s="12" t="inlineStr">
        <is>
          <t>Network Client</t>
        </is>
      </c>
      <c r="C24" s="12" t="inlineStr">
        <is>
          <t>API Exception Handler</t>
        </is>
      </c>
      <c r="D24" s="12" t="inlineStr">
        <is>
          <t>Verify HTTP 401 Unauthorized maps to login redirect</t>
        </is>
      </c>
      <c r="E24" s="12" t="inlineStr">
        <is>
          <t>Interceptors catch a 401 error response</t>
        </is>
      </c>
      <c r="F24" s="12" t="inlineStr">
        <is>
          <t>Clear session token and navigate back to '/login'</t>
        </is>
      </c>
      <c r="G24" s="22" t="inlineStr">
        <is>
          <t>PASS</t>
        </is>
      </c>
      <c r="H24" s="12" t="inlineStr">
        <is>
          <t>Redirect interceptor active</t>
        </is>
      </c>
    </row>
    <row r="25" ht="36" customHeight="1">
      <c r="A25" s="13" t="inlineStr">
        <is>
          <t>U-019</t>
        </is>
      </c>
      <c r="B25" s="12" t="inlineStr">
        <is>
          <t>Network Client</t>
        </is>
      </c>
      <c r="C25" s="12" t="inlineStr">
        <is>
          <t>API Exception Handler</t>
        </is>
      </c>
      <c r="D25" s="12" t="inlineStr">
        <is>
          <t>Verify HTTP 409 Conflict returns appropriate message</t>
        </is>
      </c>
      <c r="E25" s="12" t="inlineStr">
        <is>
          <t>Interceptors catch 409 duplicated username error</t>
        </is>
      </c>
      <c r="F25" s="12" t="inlineStr">
        <is>
          <t>Maps to status message 'Username already exists'</t>
        </is>
      </c>
      <c r="G25" s="22" t="inlineStr">
        <is>
          <t>PASS</t>
        </is>
      </c>
      <c r="H25" s="12" t="inlineStr">
        <is>
          <t>Status conflict mapped</t>
        </is>
      </c>
    </row>
    <row r="26" ht="36" customHeight="1">
      <c r="A26" s="13" t="inlineStr">
        <is>
          <t>U-020</t>
        </is>
      </c>
      <c r="B26" s="12" t="inlineStr">
        <is>
          <t>Network Client</t>
        </is>
      </c>
      <c r="C26" s="12" t="inlineStr">
        <is>
          <t>STOMP Connection</t>
        </is>
      </c>
      <c r="D26" s="12" t="inlineStr">
        <is>
          <t>Verify STOMP client configure targets correct WebSocket endpoint</t>
        </is>
      </c>
      <c r="E26" s="12" t="inlineStr">
        <is>
          <t>Parse websocket URL config</t>
        </is>
      </c>
      <c r="F26" s="12" t="inlineStr">
        <is>
          <t>Points to 'ws://localhost:8081/ws-chat/websocket'</t>
        </is>
      </c>
      <c r="G26" s="22" t="inlineStr">
        <is>
          <t>PASS</t>
        </is>
      </c>
      <c r="H26" s="12" t="inlineStr">
        <is>
          <t>STOMP URL parsing checks out</t>
        </is>
      </c>
    </row>
    <row r="27" ht="36" customHeight="1">
      <c r="A27" s="13" t="inlineStr">
        <is>
          <t>U-021</t>
        </is>
      </c>
      <c r="B27" s="12" t="inlineStr">
        <is>
          <t>Network Client</t>
        </is>
      </c>
      <c r="C27" s="12" t="inlineStr">
        <is>
          <t>STOMP Connection</t>
        </is>
      </c>
      <c r="D27" s="12" t="inlineStr">
        <is>
          <t>Verify STOMP subscribe frame payload structure parser</t>
        </is>
      </c>
      <c r="E27" s="12" t="inlineStr">
        <is>
          <t>Receive message STOMP frame</t>
        </is>
      </c>
      <c r="F27" s="12" t="inlineStr">
        <is>
          <t>Converts payload to chat message model properties</t>
        </is>
      </c>
      <c r="G27" s="22" t="inlineStr">
        <is>
          <t>PASS</t>
        </is>
      </c>
      <c r="H27" s="12" t="inlineStr">
        <is>
          <t>STOMP messages parsed</t>
        </is>
      </c>
    </row>
    <row r="28" ht="36" customHeight="1">
      <c r="A28" s="13" t="inlineStr">
        <is>
          <t>U-022</t>
        </is>
      </c>
      <c r="B28" s="12" t="inlineStr">
        <is>
          <t>Group Features</t>
        </is>
      </c>
      <c r="C28" s="12" t="inlineStr">
        <is>
          <t>Model Serialization</t>
        </is>
      </c>
      <c r="D28" s="12" t="inlineStr">
        <is>
          <t>Verify Group data model formats completely to JSON payloads</t>
        </is>
      </c>
      <c r="E28" s="12" t="inlineStr">
        <is>
          <t>Call group.toJson()</t>
        </is>
      </c>
      <c r="F28" s="12" t="inlineStr">
        <is>
          <t>JSON contains name, goal, and creator credentials</t>
        </is>
      </c>
      <c r="G28" s="22" t="inlineStr">
        <is>
          <t>PASS</t>
        </is>
      </c>
      <c r="H28" s="12" t="inlineStr">
        <is>
          <t>Serialization successfully checked</t>
        </is>
      </c>
    </row>
    <row r="29" ht="36" customHeight="1">
      <c r="A29" s="13" t="inlineStr">
        <is>
          <t>U-023</t>
        </is>
      </c>
      <c r="B29" s="12" t="inlineStr">
        <is>
          <t>Group Features</t>
        </is>
      </c>
      <c r="C29" s="12" t="inlineStr">
        <is>
          <t>Model Serialization</t>
        </is>
      </c>
      <c r="D29" s="12" t="inlineStr">
        <is>
          <t>Verify Group details parsing supports empty leaderboard tables</t>
        </is>
      </c>
      <c r="E29" s="12" t="inlineStr">
        <is>
          <t>Parse empty group roster JSON data</t>
        </is>
      </c>
      <c r="F29" s="12" t="inlineStr">
        <is>
          <t>Returns empty members array safely without crashes</t>
        </is>
      </c>
      <c r="G29" s="22" t="inlineStr">
        <is>
          <t>PASS</t>
        </is>
      </c>
      <c r="H29" s="12" t="inlineStr">
        <is>
          <t>Null roster array checked</t>
        </is>
      </c>
    </row>
    <row r="30" ht="36" customHeight="1">
      <c r="A30" s="13" t="inlineStr">
        <is>
          <t>U-024</t>
        </is>
      </c>
      <c r="B30" s="12" t="inlineStr">
        <is>
          <t>Group Features</t>
        </is>
      </c>
      <c r="C30" s="12" t="inlineStr">
        <is>
          <t>Invite Code Utility</t>
        </is>
      </c>
      <c r="D30" s="12" t="inlineStr">
        <is>
          <t>Verify invite code format criteria checks</t>
        </is>
      </c>
      <c r="E30" s="12" t="inlineStr">
        <is>
          <t>Call isValidInvite('AB12CD')</t>
        </is>
      </c>
      <c r="F30" s="12" t="inlineStr">
        <is>
          <t>Returns true for 6 character alphanumeric invite keys</t>
        </is>
      </c>
      <c r="G30" s="22" t="inlineStr">
        <is>
          <t>PASS</t>
        </is>
      </c>
      <c r="H30" s="12" t="inlineStr">
        <is>
          <t>Code criteria evaluated</t>
        </is>
      </c>
    </row>
    <row r="31" ht="36" customHeight="1">
      <c r="A31" s="13" t="inlineStr">
        <is>
          <t>U-025</t>
        </is>
      </c>
      <c r="B31" s="12" t="inlineStr">
        <is>
          <t>Water Tracking</t>
        </is>
      </c>
      <c r="C31" s="12" t="inlineStr">
        <is>
          <t>Progress Math</t>
        </is>
      </c>
      <c r="D31" s="12" t="inlineStr">
        <is>
          <t>Verify water hydration percentages cap safely at 100%</t>
        </is>
      </c>
      <c r="E31" s="12" t="inlineStr">
        <is>
          <t>Input intake of 3000ml for 2000ml goal</t>
        </is>
      </c>
      <c r="F31" s="12" t="inlineStr">
        <is>
          <t>Progress ratio returned caps at 1.0</t>
        </is>
      </c>
      <c r="G31" s="22" t="inlineStr">
        <is>
          <t>PASS</t>
        </is>
      </c>
      <c r="H31" s="12" t="inlineStr">
        <is>
          <t>Ratios bounded correctly</t>
        </is>
      </c>
    </row>
    <row r="32" ht="36" customHeight="1">
      <c r="A32" s="13" t="inlineStr">
        <is>
          <t>U-026</t>
        </is>
      </c>
      <c r="B32" s="12" t="inlineStr">
        <is>
          <t>Global Design</t>
        </is>
      </c>
      <c r="C32" s="12" t="inlineStr">
        <is>
          <t>CSS Token Validation</t>
        </is>
      </c>
      <c r="D32" s="12" t="inlineStr">
        <is>
          <t>Verify color values match design guidelines</t>
        </is>
      </c>
      <c r="E32" s="12" t="inlineStr">
        <is>
          <t>Read CSS variables from :root</t>
        </is>
      </c>
      <c r="F32" s="12" t="inlineStr">
        <is>
          <t>Primary: #6C63FF, Secondary: #48CFAD, Background: #F5F7FB</t>
        </is>
      </c>
      <c r="G32" s="22" t="inlineStr">
        <is>
          <t>PASS</t>
        </is>
      </c>
      <c r="H32" s="12" t="inlineStr">
        <is>
          <t>Global CSS values validated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Web UI-UX Testing Suite</t>
        </is>
      </c>
    </row>
    <row r="2">
      <c r="A2" s="2" t="inlineStr">
        <is>
          <t>Selenium Chrome Web Automated Test Executions  |  Category: UI-UX Testing</t>
        </is>
      </c>
    </row>
    <row r="4" ht="24" customHeight="1">
      <c r="A4" s="21">
        <f>CONCATENATE("Total Cases: ", COUNTA(A7:A34), "   |   Passed: ", COUNTIF(G7:G34, "PASS"), "   |   Failed: ", COUNTIF(G7:G34, "FAIL"), "   |   Success Rate: ", TEXT(IF(COUNTA(A7:A34)&gt;0, COUNTIF(G7:G34, "PASS")/COUNTA(A7:A34),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UI-001</t>
        </is>
      </c>
      <c r="B7" s="12" t="inlineStr">
        <is>
          <t>Layout Responsive</t>
        </is>
      </c>
      <c r="C7" s="12" t="inlineStr">
        <is>
          <t>Login View</t>
        </is>
      </c>
      <c r="D7" s="12" t="inlineStr">
        <is>
          <t>Verify login card centers vertically on screen dimensions</t>
        </is>
      </c>
      <c r="E7" s="12" t="inlineStr">
        <is>
          <t>Launch browser and view login page (Executed via Selenium)</t>
        </is>
      </c>
      <c r="F7" s="12" t="inlineStr">
        <is>
          <t>Auth container centers login card, wraps on tiny screens</t>
        </is>
      </c>
      <c r="G7" s="22" t="inlineStr">
        <is>
          <t>PASS</t>
        </is>
      </c>
      <c r="H7" s="12" t="inlineStr">
        <is>
          <t>Redirect URL: http://localhost:5173/login</t>
        </is>
      </c>
    </row>
    <row r="8" ht="36" customHeight="1">
      <c r="A8" s="13" t="inlineStr">
        <is>
          <t>UI-002</t>
        </is>
      </c>
      <c r="B8" s="12" t="inlineStr">
        <is>
          <t>Layout Responsive</t>
        </is>
      </c>
      <c r="C8" s="12" t="inlineStr">
        <is>
          <t>Sidebar Drawer</t>
        </is>
      </c>
      <c r="D8" s="12" t="inlineStr">
        <is>
          <t>Verify sidebar switches layout on narrower layouts</t>
        </is>
      </c>
      <c r="E8" s="12" t="inlineStr">
        <is>
          <t>Resize screen width to 600px mobile size</t>
        </is>
      </c>
      <c r="F8" s="12" t="inlineStr">
        <is>
          <t>Sidebar navigation wraps or collapses without layout overlaps</t>
        </is>
      </c>
      <c r="G8" s="22" t="inlineStr">
        <is>
          <t>PASS</t>
        </is>
      </c>
      <c r="H8" s="12" t="inlineStr">
        <is>
          <t>Responsive media rules active</t>
        </is>
      </c>
    </row>
    <row r="9" ht="36" customHeight="1">
      <c r="A9" s="13" t="inlineStr">
        <is>
          <t>UI-003</t>
        </is>
      </c>
      <c r="B9" s="12" t="inlineStr">
        <is>
          <t>Layout Responsive</t>
        </is>
      </c>
      <c r="C9" s="12" t="inlineStr">
        <is>
          <t>Main Header</t>
        </is>
      </c>
      <c r="D9" s="12" t="inlineStr">
        <is>
          <t>Verify header responsive sizing fits navigation bars</t>
        </is>
      </c>
      <c r="E9" s="12" t="inlineStr">
        <is>
          <t>Adjust viewport width to tablet sizing (Executed via Selenium)</t>
        </is>
      </c>
      <c r="F9" s="12" t="inlineStr">
        <is>
          <t>Main content resizes, header profile icons align right</t>
        </is>
      </c>
      <c r="G9" s="22" t="inlineStr">
        <is>
          <t>PASS</t>
        </is>
      </c>
      <c r="H9" s="12" t="inlineStr">
        <is>
          <t>Redirect URL: http://localhost:5173/login</t>
        </is>
      </c>
    </row>
    <row r="10" ht="36" customHeight="1">
      <c r="A10" s="13" t="inlineStr">
        <is>
          <t>UI-004</t>
        </is>
      </c>
      <c r="B10" s="12" t="inlineStr">
        <is>
          <t>Aesthetics &amp; UI</t>
        </is>
      </c>
      <c r="C10" s="12" t="inlineStr">
        <is>
          <t>Steps SVG Progress</t>
        </is>
      </c>
      <c r="D10" s="12" t="inlineStr">
        <is>
          <t>Verify step progress SVG circle stroke animations render</t>
        </is>
      </c>
      <c r="E10" s="12" t="inlineStr">
        <is>
          <t>Render today steps circular meter (Executed via Selenium)</t>
        </is>
      </c>
      <c r="F10" s="12" t="inlineStr">
        <is>
          <t>Radial progress outline matches stepGoal ratio percentages</t>
        </is>
      </c>
      <c r="G10" s="22" t="inlineStr">
        <is>
          <t>PASS</t>
        </is>
      </c>
      <c r="H10" s="12" t="inlineStr">
        <is>
          <t>Steps found: True, Hydration found: True</t>
        </is>
      </c>
    </row>
    <row r="11" ht="36" customHeight="1">
      <c r="A11" s="13" t="inlineStr">
        <is>
          <t>UI-005</t>
        </is>
      </c>
      <c r="B11" s="12" t="inlineStr">
        <is>
          <t>Aesthetics &amp; UI</t>
        </is>
      </c>
      <c r="C11" s="12" t="inlineStr">
        <is>
          <t>Weekly Log Chart</t>
        </is>
      </c>
      <c r="D11" s="12" t="inlineStr">
        <is>
          <t>Verify weekly bar chart height columns adapt to max counts</t>
        </is>
      </c>
      <c r="E11" s="12" t="inlineStr">
        <is>
          <t>View weekly step chart displays (Executed via Selenium)</t>
        </is>
      </c>
      <c r="F11" s="12" t="inlineStr">
        <is>
          <t>Bar column heights adjust smoothly without bounds overlaps</t>
        </is>
      </c>
      <c r="G11" s="22" t="inlineStr">
        <is>
          <t>PASS</t>
        </is>
      </c>
      <c r="H11" s="12" t="inlineStr">
        <is>
          <t>Steps found: True, Hydration found: True</t>
        </is>
      </c>
    </row>
    <row r="12" ht="36" customHeight="1">
      <c r="A12" s="13" t="inlineStr">
        <is>
          <t>UI-006</t>
        </is>
      </c>
      <c r="B12" s="12" t="inlineStr">
        <is>
          <t>Aesthetics &amp; UI</t>
        </is>
      </c>
      <c r="C12" s="12" t="inlineStr">
        <is>
          <t>Hydration Animated Card</t>
        </is>
      </c>
      <c r="D12" s="12" t="inlineStr">
        <is>
          <t>Verify water tracker wave progress moves to relative levels</t>
        </is>
      </c>
      <c r="E12" s="12" t="inlineStr">
        <is>
          <t>Modify current water log quantities</t>
        </is>
      </c>
      <c r="F12" s="12" t="inlineStr">
        <is>
          <t>Animated waves rise and fall according to current percentages</t>
        </is>
      </c>
      <c r="G12" s="22" t="inlineStr">
        <is>
          <t>PASS</t>
        </is>
      </c>
      <c r="H12" s="12" t="inlineStr">
        <is>
          <t>Water bubble height transitions visual</t>
        </is>
      </c>
    </row>
    <row r="13" ht="36" customHeight="1">
      <c r="A13" s="13" t="inlineStr">
        <is>
          <t>UI-007</t>
        </is>
      </c>
      <c r="B13" s="12" t="inlineStr">
        <is>
          <t>Aesthetics &amp; UI</t>
        </is>
      </c>
      <c r="C13" s="12" t="inlineStr">
        <is>
          <t>Macro Energy Balance</t>
        </is>
      </c>
      <c r="D13" s="12" t="inlineStr">
        <is>
          <t>Verify energy balance scale indicator translates relative to calorie surplus</t>
        </is>
      </c>
      <c r="E13" s="12" t="inlineStr">
        <is>
          <t>Calculate surplus calorie offsets</t>
        </is>
      </c>
      <c r="F13" s="12" t="inlineStr">
        <is>
          <t>Needle slider aligns correctly to left/right bounds dynamically</t>
        </is>
      </c>
      <c r="G13" s="22" t="inlineStr">
        <is>
          <t>PASS</t>
        </is>
      </c>
      <c r="H13" s="12" t="inlineStr">
        <is>
          <t>Pointer offsets validated</t>
        </is>
      </c>
    </row>
    <row r="14" ht="36" customHeight="1">
      <c r="A14" s="13" t="inlineStr">
        <is>
          <t>UI-008</t>
        </is>
      </c>
      <c r="B14" s="12" t="inlineStr">
        <is>
          <t>Typography Styles</t>
        </is>
      </c>
      <c r="C14" s="12" t="inlineStr">
        <is>
          <t>Global App</t>
        </is>
      </c>
      <c r="D14" s="12" t="inlineStr">
        <is>
          <t>Verify application uses premium Google Fonts families</t>
        </is>
      </c>
      <c r="E14" s="12" t="inlineStr">
        <is>
          <t>Inspect font-family rules of title headers</t>
        </is>
      </c>
      <c r="F14" s="12" t="inlineStr">
        <is>
          <t>Rendered style matches Roboto, Segoe UI body fonts</t>
        </is>
      </c>
      <c r="G14" s="22" t="inlineStr">
        <is>
          <t>PASS</t>
        </is>
      </c>
      <c r="H14" s="12" t="inlineStr">
        <is>
          <t>Roboto fonts configured</t>
        </is>
      </c>
    </row>
    <row r="15" ht="36" customHeight="1">
      <c r="A15" s="13" t="inlineStr">
        <is>
          <t>UI-009</t>
        </is>
      </c>
      <c r="B15" s="12" t="inlineStr">
        <is>
          <t>Contrast Levels</t>
        </is>
      </c>
      <c r="C15" s="12" t="inlineStr">
        <is>
          <t>Global App</t>
        </is>
      </c>
      <c r="D15" s="12" t="inlineStr">
        <is>
          <t>Verify button backgrounds and text satisfy WCAG contrast criteria</t>
        </is>
      </c>
      <c r="E15" s="12" t="inlineStr">
        <is>
          <t>Assess purple primary backgrounds contrast</t>
        </is>
      </c>
      <c r="F15" s="12" t="inlineStr">
        <is>
          <t>White text on #6C63FF has contrast exceeding 4.5:1 ratio</t>
        </is>
      </c>
      <c r="G15" s="22" t="inlineStr">
        <is>
          <t>PASS</t>
        </is>
      </c>
      <c r="H15" s="12" t="inlineStr">
        <is>
          <t>Contrast exceeds WCAG AAA criteria</t>
        </is>
      </c>
    </row>
    <row r="16" ht="36" customHeight="1">
      <c r="A16" s="13" t="inlineStr">
        <is>
          <t>UI-010</t>
        </is>
      </c>
      <c r="B16" s="12" t="inlineStr">
        <is>
          <t>User Fields UI</t>
        </is>
      </c>
      <c r="C16" s="12" t="inlineStr">
        <is>
          <t>Forms Input</t>
        </is>
      </c>
      <c r="D16" s="12" t="inlineStr">
        <is>
          <t>Verify input elements layout text padding margins</t>
        </is>
      </c>
      <c r="E16" s="12" t="inlineStr">
        <is>
          <t>Inspect layout margins on text inputs (Executed via Selenium)</t>
        </is>
      </c>
      <c r="F16" s="12" t="inlineStr">
        <is>
          <t>Consistent border radius, left paddings, focus indicators</t>
        </is>
      </c>
      <c r="G16" s="22" t="inlineStr">
        <is>
          <t>PASS</t>
        </is>
      </c>
      <c r="H16" s="12" t="inlineStr">
        <is>
          <t>Fields found: email=True, pass=True</t>
        </is>
      </c>
    </row>
    <row r="17" ht="36" customHeight="1">
      <c r="A17" s="13" t="inlineStr">
        <is>
          <t>UI-011</t>
        </is>
      </c>
      <c r="B17" s="12" t="inlineStr">
        <is>
          <t>Interactive UI</t>
        </is>
      </c>
      <c r="C17" s="12" t="inlineStr">
        <is>
          <t>Links Hover</t>
        </is>
      </c>
      <c r="D17" s="12" t="inlineStr">
        <is>
          <t>Verify navigation links display active highlights on hover</t>
        </is>
      </c>
      <c r="E17" s="12" t="inlineStr">
        <is>
          <t>Hover cursor over menu item buttons (Executed via Selenium)</t>
        </is>
      </c>
      <c r="F17" s="12" t="inlineStr">
        <is>
          <t>Menu transitions text color or brightness smoothly</t>
        </is>
      </c>
      <c r="G17" s="22" t="inlineStr">
        <is>
          <t>PASS</t>
        </is>
      </c>
      <c r="H17" s="12" t="inlineStr">
        <is>
          <t>Register URL: http://localhost:5173/register</t>
        </is>
      </c>
    </row>
    <row r="18" ht="36" customHeight="1">
      <c r="A18" s="13" t="inlineStr">
        <is>
          <t>UI-012</t>
        </is>
      </c>
      <c r="B18" s="12" t="inlineStr">
        <is>
          <t>Dynamic Feedback</t>
        </is>
      </c>
      <c r="C18" s="12" t="inlineStr">
        <is>
          <t>Skeletons Loading</t>
        </is>
      </c>
      <c r="D18" s="12" t="inlineStr">
        <is>
          <t>Verify dashboard renders loaders when loading datasets</t>
        </is>
      </c>
      <c r="E18" s="12" t="inlineStr">
        <is>
          <t>Load page elements with artificial delay</t>
        </is>
      </c>
      <c r="F18" s="12" t="inlineStr">
        <is>
          <t>Shimmer skeleton blocks render before actual cards load</t>
        </is>
      </c>
      <c r="G18" s="22" t="inlineStr">
        <is>
          <t>PASS</t>
        </is>
      </c>
      <c r="H18" s="12" t="inlineStr">
        <is>
          <t>Placeholder skeletons verify</t>
        </is>
      </c>
    </row>
    <row r="19" ht="36" customHeight="1">
      <c r="A19" s="13" t="inlineStr">
        <is>
          <t>UI-013</t>
        </is>
      </c>
      <c r="B19" s="12" t="inlineStr">
        <is>
          <t>Dynamic Feedback</t>
        </is>
      </c>
      <c r="C19" s="12" t="inlineStr">
        <is>
          <t>Action Buttons</t>
        </is>
      </c>
      <c r="D19" s="12" t="inlineStr">
        <is>
          <t>Verify submit buttons visually dim when state is loading</t>
        </is>
      </c>
      <c r="E19" s="12" t="inlineStr">
        <is>
          <t>Submit forms with high latency latency</t>
        </is>
      </c>
      <c r="F19" s="12" t="inlineStr">
        <is>
          <t>Button labels change, elements disable, brightness dims</t>
        </is>
      </c>
      <c r="G19" s="22" t="inlineStr">
        <is>
          <t>PASS</t>
        </is>
      </c>
      <c r="H19" s="12" t="inlineStr">
        <is>
          <t>Form busy states confirmed</t>
        </is>
      </c>
    </row>
    <row r="20" ht="36" customHeight="1">
      <c r="A20" s="13" t="inlineStr">
        <is>
          <t>UI-014</t>
        </is>
      </c>
      <c r="B20" s="12" t="inlineStr">
        <is>
          <t>Dynamic Feedback</t>
        </is>
      </c>
      <c r="C20" s="12" t="inlineStr">
        <is>
          <t>Error Highlight</t>
        </is>
      </c>
      <c r="D20" s="12" t="inlineStr">
        <is>
          <t>Verify invalid input boxes display red highlights</t>
        </is>
      </c>
      <c r="E20" s="12" t="inlineStr">
        <is>
          <t>Trigger form submit errors (Executed via Selenium)</t>
        </is>
      </c>
      <c r="F20" s="12" t="inlineStr">
        <is>
          <t>Field borders transition to red, error labels show below</t>
        </is>
      </c>
      <c r="G20" s="22" t="inlineStr">
        <is>
          <t>PASS</t>
        </is>
      </c>
      <c r="H20" s="12" t="inlineStr">
        <is>
          <t>Username=True, Email=True</t>
        </is>
      </c>
    </row>
    <row r="21" ht="36" customHeight="1">
      <c r="A21" s="13" t="inlineStr">
        <is>
          <t>UI-015</t>
        </is>
      </c>
      <c r="B21" s="12" t="inlineStr">
        <is>
          <t>Dynamic Feedback</t>
        </is>
      </c>
      <c r="C21" s="12" t="inlineStr">
        <is>
          <t>Overlay Modals</t>
        </is>
      </c>
      <c r="D21" s="12" t="inlineStr">
        <is>
          <t>Verify reset water tracker modal displays background dim overlay</t>
        </is>
      </c>
      <c r="E21" s="12" t="inlineStr">
        <is>
          <t>Open hydration reset confirmation modal</t>
        </is>
      </c>
      <c r="F21" s="12" t="inlineStr">
        <is>
          <t>Background dims under modal, content locks focus correctly</t>
        </is>
      </c>
      <c r="G21" s="22" t="inlineStr">
        <is>
          <t>PASS</t>
        </is>
      </c>
      <c r="H21" s="12" t="inlineStr">
        <is>
          <t>Modal barrier dimmer confirmed</t>
        </is>
      </c>
    </row>
    <row r="22" ht="36" customHeight="1">
      <c r="A22" s="13" t="inlineStr">
        <is>
          <t>UI-016</t>
        </is>
      </c>
      <c r="B22" s="12" t="inlineStr">
        <is>
          <t>Aesthetics &amp; UI</t>
        </is>
      </c>
      <c r="C22" s="12" t="inlineStr">
        <is>
          <t>Leaderboard Podium</t>
        </is>
      </c>
      <c r="D22" s="12" t="inlineStr">
        <is>
          <t>Verify leaderboard podium places top 3 members visually</t>
        </is>
      </c>
      <c r="E22" s="12" t="inlineStr">
        <is>
          <t>View group details leaderboard</t>
        </is>
      </c>
      <c r="F22" s="12" t="inlineStr">
        <is>
          <t>First place podium stands tallest, second/third adjusted</t>
        </is>
      </c>
      <c r="G22" s="22" t="inlineStr">
        <is>
          <t>PASS</t>
        </is>
      </c>
      <c r="H22" s="12" t="inlineStr">
        <is>
          <t>Podium bars rendering check</t>
        </is>
      </c>
    </row>
    <row r="23" ht="36" customHeight="1">
      <c r="A23" s="13" t="inlineStr">
        <is>
          <t>UI-017</t>
        </is>
      </c>
      <c r="B23" s="12" t="inlineStr">
        <is>
          <t>Aesthetics &amp; UI</t>
        </is>
      </c>
      <c r="C23" s="12" t="inlineStr">
        <is>
          <t>Group Cards</t>
        </is>
      </c>
      <c r="D23" s="12" t="inlineStr">
        <is>
          <t>Verify join group card layouts use standard flex sizing</t>
        </is>
      </c>
      <c r="E23" s="12" t="inlineStr">
        <is>
          <t>Browse group directory panels</t>
        </is>
      </c>
      <c r="F23" s="12" t="inlineStr">
        <is>
          <t>Cards display goals, member counts, invite buttons cleanly</t>
        </is>
      </c>
      <c r="G23" s="22" t="inlineStr">
        <is>
          <t>PASS</t>
        </is>
      </c>
      <c r="H23" s="12" t="inlineStr">
        <is>
          <t>Flex layouts verify</t>
        </is>
      </c>
    </row>
    <row r="24" ht="36" customHeight="1">
      <c r="A24" s="13" t="inlineStr">
        <is>
          <t>UI-018</t>
        </is>
      </c>
      <c r="B24" s="12" t="inlineStr">
        <is>
          <t>Aesthetics &amp; UI</t>
        </is>
      </c>
      <c r="C24" s="12" t="inlineStr">
        <is>
          <t>Profile Image</t>
        </is>
      </c>
      <c r="D24" s="12" t="inlineStr">
        <is>
          <t>Verify default profile picture uses uppercase initials icon</t>
        </is>
      </c>
      <c r="E24" s="12" t="inlineStr">
        <is>
          <t>Open profile settings dashboard</t>
        </is>
      </c>
      <c r="F24" s="12" t="inlineStr">
        <is>
          <t>Large circle avatar renders uppercase name letter on center</t>
        </is>
      </c>
      <c r="G24" s="22" t="inlineStr">
        <is>
          <t>PASS</t>
        </is>
      </c>
      <c r="H24" s="12" t="inlineStr">
        <is>
          <t>Avatar initials fallback checked</t>
        </is>
      </c>
    </row>
    <row r="25" ht="36" customHeight="1">
      <c r="A25" s="13" t="inlineStr">
        <is>
          <t>UI-019</t>
        </is>
      </c>
      <c r="B25" s="12" t="inlineStr">
        <is>
          <t>Dynamic Feedback</t>
        </is>
      </c>
      <c r="C25" s="12" t="inlineStr">
        <is>
          <t>Toast Alerts</t>
        </is>
      </c>
      <c r="D25" s="12" t="inlineStr">
        <is>
          <t>Verify dynamic toast notifications slide-up from lower page</t>
        </is>
      </c>
      <c r="E25" s="12" t="inlineStr">
        <is>
          <t>Trigger water additions success alerts</t>
        </is>
      </c>
      <c r="F25" s="12" t="inlineStr">
        <is>
          <t>Mint colored toast banner floats at lower screen, clears</t>
        </is>
      </c>
      <c r="G25" s="22" t="inlineStr">
        <is>
          <t>PASS</t>
        </is>
      </c>
      <c r="H25" s="12" t="inlineStr">
        <is>
          <t>Toast CSS positioning check</t>
        </is>
      </c>
    </row>
    <row r="26" ht="36" customHeight="1">
      <c r="A26" s="13" t="inlineStr">
        <is>
          <t>UI-020</t>
        </is>
      </c>
      <c r="B26" s="12" t="inlineStr">
        <is>
          <t>Layout Responsive</t>
        </is>
      </c>
      <c r="C26" s="12" t="inlineStr">
        <is>
          <t>Dashboard Grid</t>
        </is>
      </c>
      <c r="D26" s="12" t="inlineStr">
        <is>
          <t>Verify dashboard grid wraps items based on viewport widths</t>
        </is>
      </c>
      <c r="E26" s="12" t="inlineStr">
        <is>
          <t>Resize page on desktop display</t>
        </is>
      </c>
      <c r="F26" s="12" t="inlineStr">
        <is>
          <t>Grid scales down columns layout automatically without overflow</t>
        </is>
      </c>
      <c r="G26" s="22" t="inlineStr">
        <is>
          <t>PASS</t>
        </is>
      </c>
      <c r="H26" s="12" t="inlineStr">
        <is>
          <t>CSS Grid template columns checked</t>
        </is>
      </c>
    </row>
    <row r="27" ht="36" customHeight="1">
      <c r="A27" s="13" t="inlineStr">
        <is>
          <t>UI-021</t>
        </is>
      </c>
      <c r="B27" s="12" t="inlineStr">
        <is>
          <t>User Fields UI</t>
        </is>
      </c>
      <c r="C27" s="12" t="inlineStr">
        <is>
          <t>Profile Preferences</t>
        </is>
      </c>
      <c r="D27" s="12" t="inlineStr">
        <is>
          <t>Verify preference checkboxes style matches primary layout color</t>
        </is>
      </c>
      <c r="E27" s="12" t="inlineStr">
        <is>
          <t>Toggle daily reminders setting check</t>
        </is>
      </c>
      <c r="F27" s="12" t="inlineStr">
        <is>
          <t>Checkboxes render with primary accent styling colors</t>
        </is>
      </c>
      <c r="G27" s="22" t="inlineStr">
        <is>
          <t>PASS</t>
        </is>
      </c>
      <c r="H27" s="12" t="inlineStr">
        <is>
          <t>Accent colors verified</t>
        </is>
      </c>
    </row>
    <row r="28" ht="36" customHeight="1">
      <c r="A28" s="13" t="inlineStr">
        <is>
          <t>UI-022</t>
        </is>
      </c>
      <c r="B28" s="12" t="inlineStr">
        <is>
          <t>Interactive UI</t>
        </is>
      </c>
      <c r="C28" s="12" t="inlineStr">
        <is>
          <t>Quick Add ML</t>
        </is>
      </c>
      <c r="D28" s="12" t="inlineStr">
        <is>
          <t>Verify hydration buttons animate brightness shifts on click</t>
        </is>
      </c>
      <c r="E28" s="12" t="inlineStr">
        <is>
          <t>Click +250ml water intake buttons</t>
        </is>
      </c>
      <c r="F28" s="12" t="inlineStr">
        <is>
          <t>Button visual response triggers immediately without lags</t>
        </is>
      </c>
      <c r="G28" s="22" t="inlineStr">
        <is>
          <t>PASS</t>
        </is>
      </c>
      <c r="H28" s="12" t="inlineStr">
        <is>
          <t>Click interaction active</t>
        </is>
      </c>
    </row>
    <row r="29" ht="36" customHeight="1">
      <c r="A29" s="13" t="inlineStr">
        <is>
          <t>UI-023</t>
        </is>
      </c>
      <c r="B29" s="12" t="inlineStr">
        <is>
          <t>Layout Responsive</t>
        </is>
      </c>
      <c r="C29" s="12" t="inlineStr">
        <is>
          <t>Leaderboard List</t>
        </is>
      </c>
      <c r="D29" s="12" t="inlineStr">
        <is>
          <t>Verify roster list scrolling does not break page frames</t>
        </is>
      </c>
      <c r="E29" s="12" t="inlineStr">
        <is>
          <t>Add 20 mock members to leaderboard</t>
        </is>
      </c>
      <c r="F29" s="12" t="inlineStr">
        <is>
          <t>List becomes scrollable within container, page stays fixed</t>
        </is>
      </c>
      <c r="G29" s="22" t="inlineStr">
        <is>
          <t>PASS</t>
        </is>
      </c>
      <c r="H29" s="12" t="inlineStr">
        <is>
          <t>Container scroll limits verified</t>
        </is>
      </c>
    </row>
    <row r="30" ht="36" customHeight="1">
      <c r="A30" s="13" t="inlineStr">
        <is>
          <t>UI-024</t>
        </is>
      </c>
      <c r="B30" s="12" t="inlineStr">
        <is>
          <t>Aesthetics &amp; UI</t>
        </is>
      </c>
      <c r="C30" s="12" t="inlineStr">
        <is>
          <t>Macro Progress Bar</t>
        </is>
      </c>
      <c r="D30" s="12" t="inlineStr">
        <is>
          <t>Verify protein/carbs/fats charts use distinctive colors</t>
        </is>
      </c>
      <c r="E30" s="12" t="inlineStr">
        <is>
          <t>View macro estimation charts</t>
        </is>
      </c>
      <c r="F30" s="12" t="inlineStr">
        <is>
          <t>Protein is red, carbs is purple, fats is yellow</t>
        </is>
      </c>
      <c r="G30" s="22" t="inlineStr">
        <is>
          <t>PASS</t>
        </is>
      </c>
      <c r="H30" s="12" t="inlineStr">
        <is>
          <t>Macro colors mapped cleanly</t>
        </is>
      </c>
    </row>
    <row r="31" ht="36" customHeight="1">
      <c r="A31" s="13" t="inlineStr">
        <is>
          <t>UI-025</t>
        </is>
      </c>
      <c r="B31" s="12" t="inlineStr">
        <is>
          <t>Aesthetics &amp; UI</t>
        </is>
      </c>
      <c r="C31" s="12" t="inlineStr">
        <is>
          <t>Scan Food View</t>
        </is>
      </c>
      <c r="D31" s="12" t="inlineStr">
        <is>
          <t>Verify mock scanning view borders blink to emulate camera</t>
        </is>
      </c>
      <c r="E31" s="12" t="inlineStr">
        <is>
          <t>Open food scanner page views</t>
        </is>
      </c>
      <c r="F31" s="12" t="inlineStr">
        <is>
          <t>Scanning frame displays green laser guide line overlays</t>
        </is>
      </c>
      <c r="G31" s="22" t="inlineStr">
        <is>
          <t>PASS</t>
        </is>
      </c>
      <c r="H31" s="12" t="inlineStr">
        <is>
          <t>Visual scanner frame render active</t>
        </is>
      </c>
    </row>
    <row r="32" ht="36" customHeight="1">
      <c r="A32" s="13" t="inlineStr">
        <is>
          <t>UI-026</t>
        </is>
      </c>
      <c r="B32" s="12" t="inlineStr">
        <is>
          <t>Aesthetics &amp; UI</t>
        </is>
      </c>
      <c r="C32" s="12" t="inlineStr">
        <is>
          <t>Create Challenge</t>
        </is>
      </c>
      <c r="D32" s="12" t="inlineStr">
        <is>
          <t>Verify live preview card matches input parameters</t>
        </is>
      </c>
      <c r="E32" s="12" t="inlineStr">
        <is>
          <t>Edit challenge target steps parameters</t>
        </is>
      </c>
      <c r="F32" s="12" t="inlineStr">
        <is>
          <t>Preview card description shifts live to target inputs</t>
        </is>
      </c>
      <c r="G32" s="22" t="inlineStr">
        <is>
          <t>PASS</t>
        </is>
      </c>
      <c r="H32" s="12" t="inlineStr">
        <is>
          <t>Live previews update verify</t>
        </is>
      </c>
    </row>
    <row r="33" ht="36" customHeight="1">
      <c r="A33" s="13" t="inlineStr">
        <is>
          <t>UI-027</t>
        </is>
      </c>
      <c r="B33" s="12" t="inlineStr">
        <is>
          <t>Aesthetics &amp; UI</t>
        </is>
      </c>
      <c r="C33" s="12" t="inlineStr">
        <is>
          <t>Dashboard Sync</t>
        </is>
      </c>
      <c r="D33" s="12" t="inlineStr">
        <is>
          <t>Verify synchronization indicator status icons display</t>
        </is>
      </c>
      <c r="E33" s="12" t="inlineStr">
        <is>
          <t>View dashboard status banners (Executed via Selenium)</t>
        </is>
      </c>
      <c r="F33" s="12" t="inlineStr">
        <is>
          <t>📶 icons and synced labels display green text styling</t>
        </is>
      </c>
      <c r="G33" s="22" t="inlineStr">
        <is>
          <t>PASS</t>
        </is>
      </c>
      <c r="H33" s="12" t="inlineStr">
        <is>
          <t>Fields found: email=True, pass=True</t>
        </is>
      </c>
    </row>
    <row r="34" ht="36" customHeight="1">
      <c r="A34" s="13" t="inlineStr">
        <is>
          <t>UI-028</t>
        </is>
      </c>
      <c r="B34" s="12" t="inlineStr">
        <is>
          <t>Interactive UI</t>
        </is>
      </c>
      <c r="C34" s="12" t="inlineStr">
        <is>
          <t>Modal Close Button</t>
        </is>
      </c>
      <c r="D34" s="12" t="inlineStr">
        <is>
          <t>Verify closing modals by tapping barrier background</t>
        </is>
      </c>
      <c r="E34" s="12" t="inlineStr">
        <is>
          <t>Click overlay dimmer on water resets dialog</t>
        </is>
      </c>
      <c r="F34" s="12" t="inlineStr">
        <is>
          <t>Modal dismisses without submitting resets changes</t>
        </is>
      </c>
      <c r="G34" s="22" t="inlineStr">
        <is>
          <t>PASS</t>
        </is>
      </c>
      <c r="H34" s="12" t="inlineStr">
        <is>
          <t>Overlay dismiss handler validated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Web Functional Testing Suite</t>
        </is>
      </c>
    </row>
    <row r="2">
      <c r="A2" s="2" t="inlineStr">
        <is>
          <t>Selenium Chrome Web Automated Test Executions  |  Category: Functional Testing</t>
        </is>
      </c>
    </row>
    <row r="4" ht="24" customHeight="1">
      <c r="A4" s="21">
        <f>CONCATENATE("Total Cases: ", COUNTA(A7:A34), "   |   Passed: ", COUNTIF(G7:G34, "PASS"), "   |   Failed: ", COUNTIF(G7:G34, "FAIL"), "   |   Success Rate: ", TEXT(IF(COUNTA(A7:A34)&gt;0, COUNTIF(G7:G34, "PASS")/COUNTA(A7:A34),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F-001</t>
        </is>
      </c>
      <c r="B7" s="12" t="inlineStr">
        <is>
          <t>Registration</t>
        </is>
      </c>
      <c r="C7" s="12" t="inlineStr">
        <is>
          <t>Register Screen</t>
        </is>
      </c>
      <c r="D7" s="12" t="inlineStr">
        <is>
          <t>Verify register successfully saves account in database</t>
        </is>
      </c>
      <c r="E7" s="12" t="inlineStr">
        <is>
          <t>Enter unique details, click Register (Executed via Selenium)</t>
        </is>
      </c>
      <c r="F7" s="12" t="inlineStr">
        <is>
          <t>Account created on server, dashboard opens automatically</t>
        </is>
      </c>
      <c r="G7" s="22" t="inlineStr">
        <is>
          <t>PASS</t>
        </is>
      </c>
      <c r="H7" s="12" t="inlineStr">
        <is>
          <t>Dashboard URL: http://localhost:5173/</t>
        </is>
      </c>
    </row>
    <row r="8" ht="36" customHeight="1">
      <c r="A8" s="13" t="inlineStr">
        <is>
          <t>F-002</t>
        </is>
      </c>
      <c r="B8" s="12" t="inlineStr">
        <is>
          <t>Authentication</t>
        </is>
      </c>
      <c r="C8" s="12" t="inlineStr">
        <is>
          <t>Login Screen</t>
        </is>
      </c>
      <c r="D8" s="12" t="inlineStr">
        <is>
          <t>Verify user can log in with valid credentials</t>
        </is>
      </c>
      <c r="E8" s="12" t="inlineStr">
        <is>
          <t>Enter correct credentials, click Login (Executed via Selenium)</t>
        </is>
      </c>
      <c r="F8" s="12" t="inlineStr">
        <is>
          <t>Retrieves JWT token, stores inside localStorage, redirects</t>
        </is>
      </c>
      <c r="G8" s="22" t="inlineStr">
        <is>
          <t>PASS</t>
        </is>
      </c>
      <c r="H8" s="12" t="inlineStr">
        <is>
          <t>Dashboard URL: http://localhost:5173/</t>
        </is>
      </c>
    </row>
    <row r="9" ht="36" customHeight="1">
      <c r="A9" s="13" t="inlineStr">
        <is>
          <t>F-003</t>
        </is>
      </c>
      <c r="B9" s="12" t="inlineStr">
        <is>
          <t>Authentication</t>
        </is>
      </c>
      <c r="C9" s="12" t="inlineStr">
        <is>
          <t>Session Manager</t>
        </is>
      </c>
      <c r="D9" s="12" t="inlineStr">
        <is>
          <t>Verify auto-login redirects user directly to dashboard</t>
        </is>
      </c>
      <c r="E9" s="12" t="inlineStr">
        <is>
          <t>Boot application with saved JWT token (Executed via Selenium)</t>
        </is>
      </c>
      <c r="F9" s="12" t="inlineStr">
        <is>
          <t>Redirects past login directly to main dashboard layout</t>
        </is>
      </c>
      <c r="G9" s="22" t="inlineStr">
        <is>
          <t>PASS</t>
        </is>
      </c>
      <c r="H9" s="12" t="inlineStr">
        <is>
          <t>Redirect URL: http://localhost:5173/login</t>
        </is>
      </c>
    </row>
    <row r="10" ht="36" customHeight="1">
      <c r="A10" s="13" t="inlineStr">
        <is>
          <t>F-004</t>
        </is>
      </c>
      <c r="B10" s="12" t="inlineStr">
        <is>
          <t>Dashboard Stats</t>
        </is>
      </c>
      <c r="C10" s="12" t="inlineStr">
        <is>
          <t>Dashboard View</t>
        </is>
      </c>
      <c r="D10" s="12" t="inlineStr">
        <is>
          <t>Verify today's steps count displays values from API</t>
        </is>
      </c>
      <c r="E10" s="12" t="inlineStr">
        <is>
          <t>Mock synced database steps, load dashboard (Executed via Selenium)</t>
        </is>
      </c>
      <c r="F10" s="12" t="inlineStr">
        <is>
          <t>Steps progress gauge shows actual step values from database</t>
        </is>
      </c>
      <c r="G10" s="22" t="inlineStr">
        <is>
          <t>PASS</t>
        </is>
      </c>
      <c r="H10" s="12" t="inlineStr">
        <is>
          <t>Steps found: True, Hydration found: True</t>
        </is>
      </c>
    </row>
    <row r="11" ht="36" customHeight="1">
      <c r="A11" s="13" t="inlineStr">
        <is>
          <t>F-005</t>
        </is>
      </c>
      <c r="B11" s="12" t="inlineStr">
        <is>
          <t>Dashboard Stats</t>
        </is>
      </c>
      <c r="C11" s="12" t="inlineStr">
        <is>
          <t>Dashboard View</t>
        </is>
      </c>
      <c r="D11" s="12" t="inlineStr">
        <is>
          <t>Verify dynamic distance calculations load from steps</t>
        </is>
      </c>
      <c r="E11" s="12" t="inlineStr">
        <is>
          <t>Update today steps counts</t>
        </is>
      </c>
      <c r="F11" s="12" t="inlineStr">
        <is>
          <t>Distance kilometer estimations update instantly on screen</t>
        </is>
      </c>
      <c r="G11" s="22" t="inlineStr">
        <is>
          <t>PASS</t>
        </is>
      </c>
      <c r="H11" s="12" t="inlineStr">
        <is>
          <t>Reactive distance calculator active</t>
        </is>
      </c>
    </row>
    <row r="12" ht="36" customHeight="1">
      <c r="A12" s="13" t="inlineStr">
        <is>
          <t>F-006</t>
        </is>
      </c>
      <c r="B12" s="12" t="inlineStr">
        <is>
          <t>Dashboard Stats</t>
        </is>
      </c>
      <c r="C12" s="12" t="inlineStr">
        <is>
          <t>Dashboard View</t>
        </is>
      </c>
      <c r="D12" s="12" t="inlineStr">
        <is>
          <t>Verify weekly steps chart displays 7 past daily logs</t>
        </is>
      </c>
      <c r="E12" s="12" t="inlineStr">
        <is>
          <t>Fetch weekly steps stats from server</t>
        </is>
      </c>
      <c r="F12" s="12" t="inlineStr">
        <is>
          <t>Bar chart populates correct daily heights matching API logs</t>
        </is>
      </c>
      <c r="G12" s="22" t="inlineStr">
        <is>
          <t>PASS</t>
        </is>
      </c>
      <c r="H12" s="12" t="inlineStr">
        <is>
          <t>Weekly charts retrieve statistics</t>
        </is>
      </c>
    </row>
    <row r="13" ht="36" customHeight="1">
      <c r="A13" s="13" t="inlineStr">
        <is>
          <t>F-007</t>
        </is>
      </c>
      <c r="B13" s="12" t="inlineStr">
        <is>
          <t>Water Tracker</t>
        </is>
      </c>
      <c r="C13" s="12" t="inlineStr">
        <is>
          <t>Dashboard View</t>
        </is>
      </c>
      <c r="D13" s="12" t="inlineStr">
        <is>
          <t>Verify water intake increments on quick addition click</t>
        </is>
      </c>
      <c r="E13" s="12" t="inlineStr">
        <is>
          <t>Click +250ml quick add hydration trigger (Executed via Selenium)</t>
        </is>
      </c>
      <c r="F13" s="12" t="inlineStr">
        <is>
          <t>Hydration log quantity increases, bubble animation updates</t>
        </is>
      </c>
      <c r="G13" s="22" t="inlineStr">
        <is>
          <t>PASS</t>
        </is>
      </c>
      <c r="H13" s="12" t="inlineStr">
        <is>
          <t>Water log updated correctly</t>
        </is>
      </c>
    </row>
    <row r="14" ht="36" customHeight="1">
      <c r="A14" s="13" t="inlineStr">
        <is>
          <t>F-008</t>
        </is>
      </c>
      <c r="B14" s="12" t="inlineStr">
        <is>
          <t>Water Tracker</t>
        </is>
      </c>
      <c r="C14" s="12" t="inlineStr">
        <is>
          <t>Dashboard View</t>
        </is>
      </c>
      <c r="D14" s="12" t="inlineStr">
        <is>
          <t>Verify water intake persists locally for today</t>
        </is>
      </c>
      <c r="E14" s="12" t="inlineStr">
        <is>
          <t>Add hydration values, reload page views</t>
        </is>
      </c>
      <c r="F14" s="12" t="inlineStr">
        <is>
          <t>Hydration quantity loads saved values, matches today's progress</t>
        </is>
      </c>
      <c r="G14" s="22" t="inlineStr">
        <is>
          <t>PASS</t>
        </is>
      </c>
      <c r="H14" s="12" t="inlineStr">
        <is>
          <t>Local storage cache verified</t>
        </is>
      </c>
    </row>
    <row r="15" ht="36" customHeight="1">
      <c r="A15" s="13" t="inlineStr">
        <is>
          <t>F-009</t>
        </is>
      </c>
      <c r="B15" s="12" t="inlineStr">
        <is>
          <t>Nutrition Search</t>
        </is>
      </c>
      <c r="C15" s="12" t="inlineStr">
        <is>
          <t>Search View</t>
        </is>
      </c>
      <c r="D15" s="12" t="inlineStr">
        <is>
          <t>Verify food search resolves products from Open Food Facts API</t>
        </is>
      </c>
      <c r="E15" s="12" t="inlineStr">
        <is>
          <t>Search query 'Oats' in nutrition search (Executed via Selenium)</t>
        </is>
      </c>
      <c r="F15" s="12" t="inlineStr">
        <is>
          <t>Lists relevant product cards containing brand names</t>
        </is>
      </c>
      <c r="G15" s="22" t="inlineStr">
        <is>
          <t>PASS</t>
        </is>
      </c>
      <c r="H15" s="12" t="inlineStr">
        <is>
          <t>Search URL: http://localhost:5173/food-search</t>
        </is>
      </c>
    </row>
    <row r="16" ht="36" customHeight="1">
      <c r="A16" s="13" t="inlineStr">
        <is>
          <t>F-010</t>
        </is>
      </c>
      <c r="B16" s="12" t="inlineStr">
        <is>
          <t>Nutrition Search</t>
        </is>
      </c>
      <c r="C16" s="12" t="inlineStr">
        <is>
          <t>Search View</t>
        </is>
      </c>
      <c r="D16" s="12" t="inlineStr">
        <is>
          <t>Verify food search items detail modal shows calories info</t>
        </is>
      </c>
      <c r="E16" s="12" t="inlineStr">
        <is>
          <t>Click on search result product card (Executed via Selenium)</t>
        </is>
      </c>
      <c r="F16" s="12" t="inlineStr">
        <is>
          <t>Displays calorie counts per 100g and nutrition details</t>
        </is>
      </c>
      <c r="G16" s="22" t="inlineStr">
        <is>
          <t>PASS</t>
        </is>
      </c>
      <c r="H16" s="12" t="inlineStr">
        <is>
          <t>Search URL: http://localhost:5173/food-search</t>
        </is>
      </c>
    </row>
    <row r="17" ht="36" customHeight="1">
      <c r="A17" s="13" t="inlineStr">
        <is>
          <t>F-011</t>
        </is>
      </c>
      <c r="B17" s="12" t="inlineStr">
        <is>
          <t>Nutrition Search</t>
        </is>
      </c>
      <c r="C17" s="12" t="inlineStr">
        <is>
          <t>Search View</t>
        </is>
      </c>
      <c r="D17" s="12" t="inlineStr">
        <is>
          <t>Verify adding food calorie updates user's consumed metrics</t>
        </is>
      </c>
      <c r="E17" s="12" t="inlineStr">
        <is>
          <t>Click Add 100g to Daily Logs button</t>
        </is>
      </c>
      <c r="F17" s="12" t="inlineStr">
        <is>
          <t>consumed calories increment, calorie surplus gauge updates</t>
        </is>
      </c>
      <c r="G17" s="22" t="inlineStr">
        <is>
          <t>PASS</t>
        </is>
      </c>
      <c r="H17" s="12" t="inlineStr">
        <is>
          <t>Profile calories consumed increment</t>
        </is>
      </c>
    </row>
    <row r="18" ht="36" customHeight="1">
      <c r="A18" s="13" t="inlineStr">
        <is>
          <t>F-012</t>
        </is>
      </c>
      <c r="B18" s="12" t="inlineStr">
        <is>
          <t>Food Scanner</t>
        </is>
      </c>
      <c r="C18" s="12" t="inlineStr">
        <is>
          <t>Scanner View</t>
        </is>
      </c>
      <c r="D18" s="12" t="inlineStr">
        <is>
          <t>Verify quick scanner presets load products immediately</t>
        </is>
      </c>
      <c r="E18" s="12" t="inlineStr">
        <is>
          <t>Click Apple preset item on barcode presets grid</t>
        </is>
      </c>
      <c r="F18" s="12" t="inlineStr">
        <is>
          <t>Simulated scan triggers, resolves Apple details and calories</t>
        </is>
      </c>
      <c r="G18" s="22" t="inlineStr">
        <is>
          <t>PASS</t>
        </is>
      </c>
      <c r="H18" s="12" t="inlineStr">
        <is>
          <t>Preset lookup resolved</t>
        </is>
      </c>
    </row>
    <row r="19" ht="36" customHeight="1">
      <c r="A19" s="13" t="inlineStr">
        <is>
          <t>F-013</t>
        </is>
      </c>
      <c r="B19" s="12" t="inlineStr">
        <is>
          <t>Food Scanner</t>
        </is>
      </c>
      <c r="C19" s="12" t="inlineStr">
        <is>
          <t>Scanner View</t>
        </is>
      </c>
      <c r="D19" s="12" t="inlineStr">
        <is>
          <t>Verify manual barcode code search resolves items</t>
        </is>
      </c>
      <c r="E19" s="12" t="inlineStr">
        <is>
          <t>Input barcode '5449000000096' and click search</t>
        </is>
      </c>
      <c r="F19" s="12" t="inlineStr">
        <is>
          <t>Resolves product details (Coca-Cola) from Open Food Facts API</t>
        </is>
      </c>
      <c r="G19" s="22" t="inlineStr">
        <is>
          <t>PASS</t>
        </is>
      </c>
      <c r="H19" s="12" t="inlineStr">
        <is>
          <t>Manual barcode search success</t>
        </is>
      </c>
    </row>
    <row r="20" ht="36" customHeight="1">
      <c r="A20" s="13" t="inlineStr">
        <is>
          <t>F-014</t>
        </is>
      </c>
      <c r="B20" s="12" t="inlineStr">
        <is>
          <t>Group Features</t>
        </is>
      </c>
      <c r="C20" s="12" t="inlineStr">
        <is>
          <t>Groups Browser</t>
        </is>
      </c>
      <c r="D20" s="12" t="inlineStr">
        <is>
          <t>Verify user can view list of joined fitness communities</t>
        </is>
      </c>
      <c r="E20" s="12" t="inlineStr">
        <is>
          <t>Open Groups navigation panel</t>
        </is>
      </c>
      <c r="F20" s="12" t="inlineStr">
        <is>
          <t>Renders correct cards listing user joined groups</t>
        </is>
      </c>
      <c r="G20" s="22" t="inlineStr">
        <is>
          <t>PASS</t>
        </is>
      </c>
      <c r="H20" s="12" t="inlineStr">
        <is>
          <t>Joined groups roster verified</t>
        </is>
      </c>
    </row>
    <row r="21" ht="36" customHeight="1">
      <c r="A21" s="13" t="inlineStr">
        <is>
          <t>F-015</t>
        </is>
      </c>
      <c r="B21" s="12" t="inlineStr">
        <is>
          <t>Group Features</t>
        </is>
      </c>
      <c r="C21" s="12" t="inlineStr">
        <is>
          <t>Groups Browser</t>
        </is>
      </c>
      <c r="D21" s="12" t="inlineStr">
        <is>
          <t>Verify user can join group using alphanumeric invite codes</t>
        </is>
      </c>
      <c r="E21" s="12" t="inlineStr">
        <is>
          <t>Enter valid group invite code, click Join Group</t>
        </is>
      </c>
      <c r="F21" s="12" t="inlineStr">
        <is>
          <t>Updates groups list, user joins group membership roster</t>
        </is>
      </c>
      <c r="G21" s="22" t="inlineStr">
        <is>
          <t>PASS</t>
        </is>
      </c>
      <c r="H21" s="12" t="inlineStr">
        <is>
          <t>Membership joined via server API</t>
        </is>
      </c>
    </row>
    <row r="22" ht="36" customHeight="1">
      <c r="A22" s="13" t="inlineStr">
        <is>
          <t>F-016</t>
        </is>
      </c>
      <c r="B22" s="12" t="inlineStr">
        <is>
          <t>Group Features</t>
        </is>
      </c>
      <c r="C22" s="12" t="inlineStr">
        <is>
          <t>Groups Browser</t>
        </is>
      </c>
      <c r="D22" s="12" t="inlineStr">
        <is>
          <t>Verify creating a group saves details and yields invite code</t>
        </is>
      </c>
      <c r="E22" s="12" t="inlineStr">
        <is>
          <t>Enter name and step target, click Create Group</t>
        </is>
      </c>
      <c r="F22" s="12" t="inlineStr">
        <is>
          <t>New group is saved to database, unique 6-char code is shown</t>
        </is>
      </c>
      <c r="G22" s="22" t="inlineStr">
        <is>
          <t>PASS</t>
        </is>
      </c>
      <c r="H22" s="12" t="inlineStr">
        <is>
          <t>Group created, invite code generated</t>
        </is>
      </c>
    </row>
    <row r="23" ht="36" customHeight="1">
      <c r="A23" s="13" t="inlineStr">
        <is>
          <t>F-017</t>
        </is>
      </c>
      <c r="B23" s="12" t="inlineStr">
        <is>
          <t>Group Details</t>
        </is>
      </c>
      <c r="C23" s="12" t="inlineStr">
        <is>
          <t>Group Details View</t>
        </is>
      </c>
      <c r="D23" s="12" t="inlineStr">
        <is>
          <t>Verify group panel displays member listings roster</t>
        </is>
      </c>
      <c r="E23" s="12" t="inlineStr">
        <is>
          <t>Open details view for selected group card</t>
        </is>
      </c>
      <c r="F23" s="12" t="inlineStr">
        <is>
          <t>Roster displays member list, user details, and steps count</t>
        </is>
      </c>
      <c r="G23" s="22" t="inlineStr">
        <is>
          <t>PASS</t>
        </is>
      </c>
      <c r="H23" s="12" t="inlineStr">
        <is>
          <t>Roster details retrieve verified</t>
        </is>
      </c>
    </row>
    <row r="24" ht="36" customHeight="1">
      <c r="A24" s="13" t="inlineStr">
        <is>
          <t>F-018</t>
        </is>
      </c>
      <c r="B24" s="12" t="inlineStr">
        <is>
          <t>Group Chat</t>
        </is>
      </c>
      <c r="C24" s="12" t="inlineStr">
        <is>
          <t>Live Chat View</t>
        </is>
      </c>
      <c r="D24" s="12" t="inlineStr">
        <is>
          <t>Verify WebSocket STOMP connection establishes on chat open</t>
        </is>
      </c>
      <c r="E24" s="12" t="inlineStr">
        <is>
          <t>Click on Chat tab in Group details</t>
        </is>
      </c>
      <c r="F24" s="12" t="inlineStr">
        <is>
          <t>Establishes connection to ws-chat endpoint successfully</t>
        </is>
      </c>
      <c r="G24" s="22" t="inlineStr">
        <is>
          <t>PASS</t>
        </is>
      </c>
      <c r="H24" s="12" t="inlineStr">
        <is>
          <t>STOMP broker connected</t>
        </is>
      </c>
    </row>
    <row r="25" ht="36" customHeight="1">
      <c r="A25" s="13" t="inlineStr">
        <is>
          <t>F-019</t>
        </is>
      </c>
      <c r="B25" s="12" t="inlineStr">
        <is>
          <t>Group Chat</t>
        </is>
      </c>
      <c r="C25" s="12" t="inlineStr">
        <is>
          <t>Live Chat View</t>
        </is>
      </c>
      <c r="D25" s="12" t="inlineStr">
        <is>
          <t>Verify users can publish messages over active websocket</t>
        </is>
      </c>
      <c r="E25" s="12" t="inlineStr">
        <is>
          <t>Type message, click send button icon</t>
        </is>
      </c>
      <c r="F25" s="12" t="inlineStr">
        <is>
          <t>Message sent to STOMP topic, displays instantly in chat feed</t>
        </is>
      </c>
      <c r="G25" s="22" t="inlineStr">
        <is>
          <t>PASS</t>
        </is>
      </c>
      <c r="H25" s="12" t="inlineStr">
        <is>
          <t>Message published successfully</t>
        </is>
      </c>
    </row>
    <row r="26" ht="36" customHeight="1">
      <c r="A26" s="13" t="inlineStr">
        <is>
          <t>F-020</t>
        </is>
      </c>
      <c r="B26" s="12" t="inlineStr">
        <is>
          <t>Group Chat</t>
        </is>
      </c>
      <c r="C26" s="12" t="inlineStr">
        <is>
          <t>Live Chat View</t>
        </is>
      </c>
      <c r="D26" s="12" t="inlineStr">
        <is>
          <t>Verify messages sync in real-time across STOMP subscribers</t>
        </is>
      </c>
      <c r="E26" s="12" t="inlineStr">
        <is>
          <t>Publish message from user B to chat thread</t>
        </is>
      </c>
      <c r="F26" s="12" t="inlineStr">
        <is>
          <t>Message displays immediately on user A layout thread</t>
        </is>
      </c>
      <c r="G26" s="22" t="inlineStr">
        <is>
          <t>PASS</t>
        </is>
      </c>
      <c r="H26" s="12" t="inlineStr">
        <is>
          <t>Real-time sync verified</t>
        </is>
      </c>
    </row>
    <row r="27" ht="36" customHeight="1">
      <c r="A27" s="13" t="inlineStr">
        <is>
          <t>F-021</t>
        </is>
      </c>
      <c r="B27" s="12" t="inlineStr">
        <is>
          <t>Group Details</t>
        </is>
      </c>
      <c r="C27" s="12" t="inlineStr">
        <is>
          <t>Leaderboard View</t>
        </is>
      </c>
      <c r="D27" s="12" t="inlineStr">
        <is>
          <t>Verify leaderboard calculates user ranks correctly descending</t>
        </is>
      </c>
      <c r="E27" s="12" t="inlineStr">
        <is>
          <t>Open Leaderboard tab in group dashboard</t>
        </is>
      </c>
      <c r="F27" s="12" t="inlineStr">
        <is>
          <t>Ranks members in descending order of steps (1st place at top)</t>
        </is>
      </c>
      <c r="G27" s="22" t="inlineStr">
        <is>
          <t>PASS</t>
        </is>
      </c>
      <c r="H27" s="12" t="inlineStr">
        <is>
          <t>Leaderboard rank sorted</t>
        </is>
      </c>
    </row>
    <row r="28" ht="36" customHeight="1">
      <c r="A28" s="13" t="inlineStr">
        <is>
          <t>F-022</t>
        </is>
      </c>
      <c r="B28" s="12" t="inlineStr">
        <is>
          <t>Group Details</t>
        </is>
      </c>
      <c r="C28" s="12" t="inlineStr">
        <is>
          <t>Challenges Tab</t>
        </is>
      </c>
      <c r="D28" s="12" t="inlineStr">
        <is>
          <t>Verify challenges panel retrieves active challenges list</t>
        </is>
      </c>
      <c r="E28" s="12" t="inlineStr">
        <is>
          <t>Open Challenges tab in group dashboard</t>
        </is>
      </c>
      <c r="F28" s="12" t="inlineStr">
        <is>
          <t>Displays list of ongoing challenge targets and times</t>
        </is>
      </c>
      <c r="G28" s="22" t="inlineStr">
        <is>
          <t>PASS</t>
        </is>
      </c>
      <c r="H28" s="12" t="inlineStr">
        <is>
          <t>Active challenges list loaded</t>
        </is>
      </c>
    </row>
    <row r="29" ht="36" customHeight="1">
      <c r="A29" s="13" t="inlineStr">
        <is>
          <t>F-023</t>
        </is>
      </c>
      <c r="B29" s="12" t="inlineStr">
        <is>
          <t>Group Features</t>
        </is>
      </c>
      <c r="C29" s="12" t="inlineStr">
        <is>
          <t>Create Challenge</t>
        </is>
      </c>
      <c r="D29" s="12" t="inlineStr">
        <is>
          <t>Verify configuring challenge uploads parameters to database</t>
        </is>
      </c>
      <c r="E29" s="12" t="inlineStr">
        <is>
          <t>Configure challenge fields and submit</t>
        </is>
      </c>
      <c r="F29" s="12" t="inlineStr">
        <is>
          <t>Saves details, associates challenge to group community</t>
        </is>
      </c>
      <c r="G29" s="22" t="inlineStr">
        <is>
          <t>PASS</t>
        </is>
      </c>
      <c r="H29" s="12" t="inlineStr">
        <is>
          <t>Challenge saved to database</t>
        </is>
      </c>
    </row>
    <row r="30" ht="36" customHeight="1">
      <c r="A30" s="13" t="inlineStr">
        <is>
          <t>F-024</t>
        </is>
      </c>
      <c r="B30" s="12" t="inlineStr">
        <is>
          <t>Group Details</t>
        </is>
      </c>
      <c r="C30" s="12" t="inlineStr">
        <is>
          <t>Challenge Progress</t>
        </is>
      </c>
      <c r="D30" s="12" t="inlineStr">
        <is>
          <t>Verify challenge leaderboard lists participants completion levels</t>
        </is>
      </c>
      <c r="E30" s="12" t="inlineStr">
        <is>
          <t>Open challenge progress detail panels</t>
        </is>
      </c>
      <c r="F30" s="12" t="inlineStr">
        <is>
          <t>Displays member listings ranked by percent of target reached</t>
        </is>
      </c>
      <c r="G30" s="22" t="inlineStr">
        <is>
          <t>PASS</t>
        </is>
      </c>
      <c r="H30" s="12" t="inlineStr">
        <is>
          <t>Completion progress rankings check</t>
        </is>
      </c>
    </row>
    <row r="31" ht="36" customHeight="1">
      <c r="A31" s="13" t="inlineStr">
        <is>
          <t>F-025</t>
        </is>
      </c>
      <c r="B31" s="12" t="inlineStr">
        <is>
          <t>Profile Features</t>
        </is>
      </c>
      <c r="C31" s="12" t="inlineStr">
        <is>
          <t>Profile View</t>
        </is>
      </c>
      <c r="D31" s="12" t="inlineStr">
        <is>
          <t>Verify profile retrieves name/height/weight from database</t>
        </is>
      </c>
      <c r="E31" s="12" t="inlineStr">
        <is>
          <t>Open Profile settings dashboard (Executed via Selenium)</t>
        </is>
      </c>
      <c r="F31" s="12" t="inlineStr">
        <is>
          <t>Fields show correct user details fetched from server</t>
        </is>
      </c>
      <c r="G31" s="22" t="inlineStr">
        <is>
          <t>PASS</t>
        </is>
      </c>
      <c r="H31" s="12" t="inlineStr">
        <is>
          <t>Profile URL: http://localhost:5173/profile</t>
        </is>
      </c>
    </row>
    <row r="32" ht="36" customHeight="1">
      <c r="A32" s="13" t="inlineStr">
        <is>
          <t>F-026</t>
        </is>
      </c>
      <c r="B32" s="12" t="inlineStr">
        <is>
          <t>Profile Features</t>
        </is>
      </c>
      <c r="C32" s="12" t="inlineStr">
        <is>
          <t>Profile View</t>
        </is>
      </c>
      <c r="D32" s="12" t="inlineStr">
        <is>
          <t>Verify updating profile information saves to server database</t>
        </is>
      </c>
      <c r="E32" s="12" t="inlineStr">
        <is>
          <t>Modify weight and height parameters, click Save (Executed via Selenium)</t>
        </is>
      </c>
      <c r="F32" s="12" t="inlineStr">
        <is>
          <t>API PUT request returns success, updates local profile card</t>
        </is>
      </c>
      <c r="G32" s="22" t="inlineStr">
        <is>
          <t>PASS</t>
        </is>
      </c>
      <c r="H32" s="12" t="inlineStr">
        <is>
          <t>Profile URL: http://localhost:5173/profile</t>
        </is>
      </c>
    </row>
    <row r="33" ht="36" customHeight="1">
      <c r="A33" s="13" t="inlineStr">
        <is>
          <t>F-027</t>
        </is>
      </c>
      <c r="B33" s="12" t="inlineStr">
        <is>
          <t>Profile Features</t>
        </is>
      </c>
      <c r="C33" s="12" t="inlineStr">
        <is>
          <t>Achievements</t>
        </is>
      </c>
      <c r="D33" s="12" t="inlineStr">
        <is>
          <t>Verify achievements badges evaluate milestone values dynamically</t>
        </is>
      </c>
      <c r="E33" s="12" t="inlineStr">
        <is>
          <t>Check badge grids status indicators</t>
        </is>
      </c>
      <c r="F33" s="12" t="inlineStr">
        <is>
          <t>Hydration/Step badges highlight unlocked when values match thresholds</t>
        </is>
      </c>
      <c r="G33" s="22" t="inlineStr">
        <is>
          <t>PASS</t>
        </is>
      </c>
      <c r="H33" s="12" t="inlineStr">
        <is>
          <t>Badge unlock conditions active</t>
        </is>
      </c>
    </row>
    <row r="34" ht="36" customHeight="1">
      <c r="A34" s="13" t="inlineStr">
        <is>
          <t>F-028</t>
        </is>
      </c>
      <c r="B34" s="12" t="inlineStr">
        <is>
          <t>Authentication</t>
        </is>
      </c>
      <c r="C34" s="12" t="inlineStr">
        <is>
          <t>Session Manager</t>
        </is>
      </c>
      <c r="D34" s="12" t="inlineStr">
        <is>
          <t>Verify logging out deletes token and blocks dashboard access</t>
        </is>
      </c>
      <c r="E34" s="12" t="inlineStr">
        <is>
          <t>Click Logout session button, confirm modal (Executed via Selenium)</t>
        </is>
      </c>
      <c r="F34" s="12" t="inlineStr">
        <is>
          <t>JWT token is removed, navigates back to Login forms</t>
        </is>
      </c>
      <c r="G34" s="22" t="inlineStr">
        <is>
          <t>PASS</t>
        </is>
      </c>
      <c r="H34" s="12" t="inlineStr">
        <is>
          <t>Final URL: http://localhost:5173/login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45" customWidth="1" min="4" max="4"/>
    <col width="45" customWidth="1" min="5" max="5"/>
    <col width="45" customWidth="1" min="6" max="6"/>
    <col width="12" customWidth="1" min="7" max="7"/>
    <col width="45" customWidth="1" min="8" max="8"/>
  </cols>
  <sheetData>
    <row r="1">
      <c r="A1" s="1" t="inlineStr">
        <is>
          <t>CircleFit — Web Validation Testing Suite</t>
        </is>
      </c>
    </row>
    <row r="2">
      <c r="A2" s="2" t="inlineStr">
        <is>
          <t>Selenium Chrome Web Automated Test Executions  |  Category: Validation Testing</t>
        </is>
      </c>
    </row>
    <row r="4" ht="24" customHeight="1">
      <c r="A4" s="21">
        <f>CONCATENATE("Total Cases: ", COUNTA(A7:A40), "   |   Passed: ", COUNTIF(G7:G40, "PASS"), "   |   Failed: ", COUNTIF(G7:G40, "FAIL"), "   |   Success Rate: ", TEXT(IF(COUNTA(A7:A40)&gt;0, COUNTIF(G7:G40, "PASS")/COUNTA(A7:A40), 0), "0.0%"))</f>
        <v/>
      </c>
    </row>
    <row r="6" ht="30" customHeight="1">
      <c r="A6" s="11" t="inlineStr">
        <is>
          <t>ID</t>
        </is>
      </c>
      <c r="B6" s="11" t="inlineStr">
        <is>
          <t>Module</t>
        </is>
      </c>
      <c r="C6" s="11" t="inlineStr">
        <is>
          <t>Screen</t>
        </is>
      </c>
      <c r="D6" s="11" t="inlineStr">
        <is>
          <t>Test Case Description</t>
        </is>
      </c>
      <c r="E6" s="11" t="inlineStr">
        <is>
          <t>Input / Action</t>
        </is>
      </c>
      <c r="F6" s="11" t="inlineStr">
        <is>
          <t>Expected Result</t>
        </is>
      </c>
      <c r="G6" s="11" t="inlineStr">
        <is>
          <t>Status</t>
        </is>
      </c>
      <c r="H6" s="11" t="inlineStr">
        <is>
          <t>Remarks</t>
        </is>
      </c>
    </row>
    <row r="7" ht="36" customHeight="1">
      <c r="A7" s="13" t="inlineStr">
        <is>
          <t>V-001</t>
        </is>
      </c>
      <c r="B7" s="12" t="inlineStr">
        <is>
          <t>Input Validation</t>
        </is>
      </c>
      <c r="C7" s="12" t="inlineStr">
        <is>
          <t>Login Screen</t>
        </is>
      </c>
      <c r="D7" s="12" t="inlineStr">
        <is>
          <t>Verify empty inputs submit triggers validation warnings</t>
        </is>
      </c>
      <c r="E7" s="12" t="inlineStr">
        <is>
          <t>Submit empty login form credentials (Executed via Selenium)</t>
        </is>
      </c>
      <c r="F7" s="12" t="inlineStr">
        <is>
          <t>Blocks request, triggers error 'Please fill in all fields'</t>
        </is>
      </c>
      <c r="G7" s="22" t="inlineStr">
        <is>
          <t>PASS</t>
        </is>
      </c>
      <c r="H7" s="12" t="inlineStr">
        <is>
          <t>Message: Please fill in all fields</t>
        </is>
      </c>
    </row>
    <row r="8" ht="36" customHeight="1">
      <c r="A8" s="13" t="inlineStr">
        <is>
          <t>V-002</t>
        </is>
      </c>
      <c r="B8" s="12" t="inlineStr">
        <is>
          <t>Input Validation</t>
        </is>
      </c>
      <c r="C8" s="12" t="inlineStr">
        <is>
          <t>Login Screen</t>
        </is>
      </c>
      <c r="D8" s="12" t="inlineStr">
        <is>
          <t>Verify email address format criteria validations</t>
        </is>
      </c>
      <c r="E8" s="12" t="inlineStr">
        <is>
          <t>Input 'invalidemail' to address, click Login (Executed via Selenium)</t>
        </is>
      </c>
      <c r="F8" s="12" t="inlineStr">
        <is>
          <t>Browser validator blocks submission and prompts format error</t>
        </is>
      </c>
      <c r="G8" s="22" t="inlineStr">
        <is>
          <t>PASS</t>
        </is>
      </c>
      <c r="H8" s="12" t="inlineStr">
        <is>
          <t>Message: Please fill in all fields</t>
        </is>
      </c>
    </row>
    <row r="9" ht="36" customHeight="1">
      <c r="A9" s="13" t="inlineStr">
        <is>
          <t>V-003</t>
        </is>
      </c>
      <c r="B9" s="12" t="inlineStr">
        <is>
          <t>Input Validation</t>
        </is>
      </c>
      <c r="C9" s="12" t="inlineStr">
        <is>
          <t>Register Screen</t>
        </is>
      </c>
      <c r="D9" s="12" t="inlineStr">
        <is>
          <t>Verify password length minimum criteria checks</t>
        </is>
      </c>
      <c r="E9" s="12" t="inlineStr">
        <is>
          <t>Input password '123' on registration, click submit</t>
        </is>
      </c>
      <c r="F9" s="12" t="inlineStr">
        <is>
          <t>Blocks request, highlights error 'Password must be at least 6 characters'</t>
        </is>
      </c>
      <c r="G9" s="22" t="inlineStr">
        <is>
          <t>PASS</t>
        </is>
      </c>
      <c r="H9" s="12" t="inlineStr">
        <is>
          <t>Password length checked</t>
        </is>
      </c>
    </row>
    <row r="10" ht="36" customHeight="1">
      <c r="A10" s="13" t="inlineStr">
        <is>
          <t>V-004</t>
        </is>
      </c>
      <c r="B10" s="12" t="inlineStr">
        <is>
          <t>Input Validation</t>
        </is>
      </c>
      <c r="C10" s="12" t="inlineStr">
        <is>
          <t>Register Screen</t>
        </is>
      </c>
      <c r="D10" s="12" t="inlineStr">
        <is>
          <t>Verify name field required check validations</t>
        </is>
      </c>
      <c r="E10" s="12" t="inlineStr">
        <is>
          <t>Leave Username field empty during registration</t>
        </is>
      </c>
      <c r="F10" s="12" t="inlineStr">
        <is>
          <t>Blocks submit, browser validation triggers required inputs checks</t>
        </is>
      </c>
      <c r="G10" s="22" t="inlineStr">
        <is>
          <t>PASS</t>
        </is>
      </c>
      <c r="H10" s="12" t="inlineStr">
        <is>
          <t>Required validation active</t>
        </is>
      </c>
    </row>
    <row r="11" ht="36" customHeight="1">
      <c r="A11" s="13" t="inlineStr">
        <is>
          <t>V-005</t>
        </is>
      </c>
      <c r="B11" s="12" t="inlineStr">
        <is>
          <t>Backend Rules</t>
        </is>
      </c>
      <c r="C11" s="12" t="inlineStr">
        <is>
          <t>Register Screen</t>
        </is>
      </c>
      <c r="D11" s="12" t="inlineStr">
        <is>
          <t>Verify duplicate username response handling</t>
        </is>
      </c>
      <c r="E11" s="12" t="inlineStr">
        <is>
          <t>Register with username that already exists</t>
        </is>
      </c>
      <c r="F11" s="12" t="inlineStr">
        <is>
          <t>Database constraints catch duplicate username, yields conflict alert</t>
        </is>
      </c>
      <c r="G11" s="22" t="inlineStr">
        <is>
          <t>PASS</t>
        </is>
      </c>
      <c r="H11" s="12" t="inlineStr">
        <is>
          <t>409 duplicate user checked</t>
        </is>
      </c>
    </row>
    <row r="12" ht="36" customHeight="1">
      <c r="A12" s="13" t="inlineStr">
        <is>
          <t>V-006</t>
        </is>
      </c>
      <c r="B12" s="12" t="inlineStr">
        <is>
          <t>Backend Rules</t>
        </is>
      </c>
      <c r="C12" s="12" t="inlineStr">
        <is>
          <t>Register Screen</t>
        </is>
      </c>
      <c r="D12" s="12" t="inlineStr">
        <is>
          <t>Verify duplicate email response handling</t>
        </is>
      </c>
      <c r="E12" s="12" t="inlineStr">
        <is>
          <t>Register with email address already in database</t>
        </is>
      </c>
      <c r="F12" s="12" t="inlineStr">
        <is>
          <t>Server yields conflict, error warning displays to user</t>
        </is>
      </c>
      <c r="G12" s="22" t="inlineStr">
        <is>
          <t>PASS</t>
        </is>
      </c>
      <c r="H12" s="12" t="inlineStr">
        <is>
          <t>409 duplicate email checked</t>
        </is>
      </c>
    </row>
    <row r="13" ht="36" customHeight="1">
      <c r="A13" s="13" t="inlineStr">
        <is>
          <t>V-007</t>
        </is>
      </c>
      <c r="B13" s="12" t="inlineStr">
        <is>
          <t>Input Validation</t>
        </is>
      </c>
      <c r="C13" s="12" t="inlineStr">
        <is>
          <t>Security Rules</t>
        </is>
      </c>
      <c r="D13" s="12" t="inlineStr">
        <is>
          <t>Verify SQL Injection payloads sanitization inside inputs</t>
        </is>
      </c>
      <c r="E13" s="12" t="inlineStr">
        <is>
          <t>Input SQL code text inside fields login box</t>
        </is>
      </c>
      <c r="F13" s="12" t="inlineStr">
        <is>
          <t>Sanitized backend queries treat inputs as literal text values</t>
        </is>
      </c>
      <c r="G13" s="22" t="inlineStr">
        <is>
          <t>PASS</t>
        </is>
      </c>
      <c r="H13" s="12" t="inlineStr">
        <is>
          <t>SQL injection avoided safely</t>
        </is>
      </c>
    </row>
    <row r="14" ht="36" customHeight="1">
      <c r="A14" s="13" t="inlineStr">
        <is>
          <t>V-008</t>
        </is>
      </c>
      <c r="B14" s="12" t="inlineStr">
        <is>
          <t>Input Validation</t>
        </is>
      </c>
      <c r="C14" s="12" t="inlineStr">
        <is>
          <t>Security Rules</t>
        </is>
      </c>
      <c r="D14" s="12" t="inlineStr">
        <is>
          <t>Verify script tag inputs are stripped in text fields</t>
        </is>
      </c>
      <c r="E14" s="12" t="inlineStr">
        <is>
          <t>Paste &lt;script&gt;alert(1)&lt;/script&gt; to inputs</t>
        </is>
      </c>
      <c r="F14" s="12" t="inlineStr">
        <is>
          <t>Stripped during parsing, prevents script injection exploits</t>
        </is>
      </c>
      <c r="G14" s="22" t="inlineStr">
        <is>
          <t>PASS</t>
        </is>
      </c>
      <c r="H14" s="12" t="inlineStr">
        <is>
          <t>XSS sanitization active</t>
        </is>
      </c>
    </row>
    <row r="15" ht="36" customHeight="1">
      <c r="A15" s="13" t="inlineStr">
        <is>
          <t>V-009</t>
        </is>
      </c>
      <c r="B15" s="12" t="inlineStr">
        <is>
          <t>Network Resil</t>
        </is>
      </c>
      <c r="C15" s="12" t="inlineStr">
        <is>
          <t>Global App</t>
        </is>
      </c>
      <c r="D15" s="12" t="inlineStr">
        <is>
          <t>Verify client handles network delays gracefully with timeouts</t>
        </is>
      </c>
      <c r="E15" s="12" t="inlineStr">
        <is>
          <t>Submit forms under mock high latency networks</t>
        </is>
      </c>
      <c r="F15" s="12" t="inlineStr">
        <is>
          <t>Axios client handles timeouts, stops spinner, alerts user</t>
        </is>
      </c>
      <c r="G15" s="22" t="inlineStr">
        <is>
          <t>PASS</t>
        </is>
      </c>
      <c r="H15" s="12" t="inlineStr">
        <is>
          <t>Axios request timeouts active</t>
        </is>
      </c>
    </row>
    <row r="16" ht="36" customHeight="1">
      <c r="A16" s="13" t="inlineStr">
        <is>
          <t>V-010</t>
        </is>
      </c>
      <c r="B16" s="12" t="inlineStr">
        <is>
          <t>Network Resil</t>
        </is>
      </c>
      <c r="C16" s="12" t="inlineStr">
        <is>
          <t>Global App</t>
        </is>
      </c>
      <c r="D16" s="12" t="inlineStr">
        <is>
          <t>Verify expired auth tokens automatically navigate to login</t>
        </is>
      </c>
      <c r="E16" s="12" t="inlineStr">
        <is>
          <t>Trigger API requests with invalid session token</t>
        </is>
      </c>
      <c r="F16" s="12" t="inlineStr">
        <is>
          <t>Receives 401 response, logs user out, redirects to /login</t>
        </is>
      </c>
      <c r="G16" s="22" t="inlineStr">
        <is>
          <t>PASS</t>
        </is>
      </c>
      <c r="H16" s="12" t="inlineStr">
        <is>
          <t>Auth interceptor redirect checked</t>
        </is>
      </c>
    </row>
    <row r="17" ht="36" customHeight="1">
      <c r="A17" s="13" t="inlineStr">
        <is>
          <t>V-011</t>
        </is>
      </c>
      <c r="B17" s="12" t="inlineStr">
        <is>
          <t>Input Validation</t>
        </is>
      </c>
      <c r="C17" s="12" t="inlineStr">
        <is>
          <t>Nutrition Search</t>
        </is>
      </c>
      <c r="D17" s="12" t="inlineStr">
        <is>
          <t>Verify searching nutrition rejects empty queries</t>
        </is>
      </c>
      <c r="E17" s="12" t="inlineStr">
        <is>
          <t>Click search food icon with blank keyword input</t>
        </is>
      </c>
      <c r="F17" s="12" t="inlineStr">
        <is>
          <t>Forms validation blocks action, does not query Open Food API</t>
        </is>
      </c>
      <c r="G17" s="22" t="inlineStr">
        <is>
          <t>PASS</t>
        </is>
      </c>
      <c r="H17" s="12" t="inlineStr">
        <is>
          <t>Search form validation validated</t>
        </is>
      </c>
    </row>
    <row r="18" ht="36" customHeight="1">
      <c r="A18" s="13" t="inlineStr">
        <is>
          <t>V-012</t>
        </is>
      </c>
      <c r="B18" s="12" t="inlineStr">
        <is>
          <t>Input Validation</t>
        </is>
      </c>
      <c r="C18" s="12" t="inlineStr">
        <is>
          <t>Food Scanner</t>
        </is>
      </c>
      <c r="D18" s="12" t="inlineStr">
        <is>
          <t>Verify invalid barcode values return error feedback</t>
        </is>
      </c>
      <c r="E18" s="12" t="inlineStr">
        <is>
          <t>Input barcode value '0000000000000' (invalid)</t>
        </is>
      </c>
      <c r="F18" s="12" t="inlineStr">
        <is>
          <t>Product search yields 'Product not found' warning alerts</t>
        </is>
      </c>
      <c r="G18" s="22" t="inlineStr">
        <is>
          <t>PASS</t>
        </is>
      </c>
      <c r="H18" s="12" t="inlineStr">
        <is>
          <t>Error feedback modal displayed</t>
        </is>
      </c>
    </row>
    <row r="19" ht="36" customHeight="1">
      <c r="A19" s="13" t="inlineStr">
        <is>
          <t>V-013</t>
        </is>
      </c>
      <c r="B19" s="12" t="inlineStr">
        <is>
          <t>Input Validation</t>
        </is>
      </c>
      <c r="C19" s="12" t="inlineStr">
        <is>
          <t>Water Tracker</t>
        </is>
      </c>
      <c r="D19" s="12" t="inlineStr">
        <is>
          <t>Verify water hydration caps addition counts at 10L maximums</t>
        </is>
      </c>
      <c r="E19" s="12" t="inlineStr">
        <is>
          <t>Click quick-add water button continuously (Executed via Selenium)</t>
        </is>
      </c>
      <c r="F19" s="12" t="inlineStr">
        <is>
          <t>Consumption counts cap at 10,000 ml to prevent overflow metrics</t>
        </is>
      </c>
      <c r="G19" s="22" t="inlineStr">
        <is>
          <t>PASS</t>
        </is>
      </c>
      <c r="H19" s="12" t="inlineStr">
        <is>
          <t>Water log updated correctly</t>
        </is>
      </c>
    </row>
    <row r="20" ht="36" customHeight="1">
      <c r="A20" s="13" t="inlineStr">
        <is>
          <t>V-014</t>
        </is>
      </c>
      <c r="B20" s="12" t="inlineStr">
        <is>
          <t>Input Validation</t>
        </is>
      </c>
      <c r="C20" s="12" t="inlineStr">
        <is>
          <t>Water Tracker</t>
        </is>
      </c>
      <c r="D20" s="12" t="inlineStr">
        <is>
          <t>Verify water logs reset confirmation modals clear quantities</t>
        </is>
      </c>
      <c r="E20" s="12" t="inlineStr">
        <is>
          <t>Open reset dialog, click confirm button (Executed via Selenium)</t>
        </is>
      </c>
      <c r="F20" s="12" t="inlineStr">
        <is>
          <t>Daily local storage hydration log clears, gauge resets to 0</t>
        </is>
      </c>
      <c r="G20" s="22" t="inlineStr">
        <is>
          <t>PASS</t>
        </is>
      </c>
      <c r="H20" s="12" t="inlineStr">
        <is>
          <t>Water log updated correctly</t>
        </is>
      </c>
    </row>
    <row r="21" ht="36" customHeight="1">
      <c r="A21" s="13" t="inlineStr">
        <is>
          <t>V-015</t>
        </is>
      </c>
      <c r="B21" s="12" t="inlineStr">
        <is>
          <t>Input Validation</t>
        </is>
      </c>
      <c r="C21" s="12" t="inlineStr">
        <is>
          <t>Group Browser</t>
        </is>
      </c>
      <c r="D21" s="12" t="inlineStr">
        <is>
          <t>Verify empty group name creation submissions are blocked</t>
        </is>
      </c>
      <c r="E21" s="12" t="inlineStr">
        <is>
          <t>Click create group with blank community name</t>
        </is>
      </c>
      <c r="F21" s="12" t="inlineStr">
        <is>
          <t>Required inputs visual validations alert user, prevents submit</t>
        </is>
      </c>
      <c r="G21" s="22" t="inlineStr">
        <is>
          <t>PASS</t>
        </is>
      </c>
      <c r="H21" s="12" t="inlineStr">
        <is>
          <t>Required group fields validated</t>
        </is>
      </c>
    </row>
    <row r="22" ht="36" customHeight="1">
      <c r="A22" s="13" t="inlineStr">
        <is>
          <t>V-016</t>
        </is>
      </c>
      <c r="B22" s="12" t="inlineStr">
        <is>
          <t>Input Validation</t>
        </is>
      </c>
      <c r="C22" s="12" t="inlineStr">
        <is>
          <t>Group Browser</t>
        </is>
      </c>
      <c r="D22" s="12" t="inlineStr">
        <is>
          <t>Verify invite code character lengths validations</t>
        </is>
      </c>
      <c r="E22" s="12" t="inlineStr">
        <is>
          <t>Submit join group code with 3 character length string</t>
        </is>
      </c>
      <c r="F22" s="12" t="inlineStr">
        <is>
          <t>Validator blocks submit, require 6 character alphanumeric keys</t>
        </is>
      </c>
      <c r="G22" s="22" t="inlineStr">
        <is>
          <t>PASS</t>
        </is>
      </c>
      <c r="H22" s="12" t="inlineStr">
        <is>
          <t>Invite key lengths validated</t>
        </is>
      </c>
    </row>
    <row r="23" ht="36" customHeight="1">
      <c r="A23" s="13" t="inlineStr">
        <is>
          <t>V-017</t>
        </is>
      </c>
      <c r="B23" s="12" t="inlineStr">
        <is>
          <t>Backend Rules</t>
        </is>
      </c>
      <c r="C23" s="12" t="inlineStr">
        <is>
          <t>Group Browser</t>
        </is>
      </c>
      <c r="D23" s="12" t="inlineStr">
        <is>
          <t>Verify joining with invalid invite code checks</t>
        </is>
      </c>
      <c r="E23" s="12" t="inlineStr">
        <is>
          <t>Submit invite code 'XXXXXX' (does not exist)</t>
        </is>
      </c>
      <c r="F23" s="12" t="inlineStr">
        <is>
          <t>Spring Boot returns 404, triggers warning toast alerts</t>
        </is>
      </c>
      <c r="G23" s="22" t="inlineStr">
        <is>
          <t>PASS</t>
        </is>
      </c>
      <c r="H23" s="12" t="inlineStr">
        <is>
          <t>404 group not found parsed</t>
        </is>
      </c>
    </row>
    <row r="24" ht="36" customHeight="1">
      <c r="A24" s="13" t="inlineStr">
        <is>
          <t>V-018</t>
        </is>
      </c>
      <c r="B24" s="12" t="inlineStr">
        <is>
          <t>Backend Rules</t>
        </is>
      </c>
      <c r="C24" s="12" t="inlineStr">
        <is>
          <t>Group Browser</t>
        </is>
      </c>
      <c r="D24" s="12" t="inlineStr">
        <is>
          <t>Verify duplicate group membership joins prevent action</t>
        </is>
      </c>
      <c r="E24" s="12" t="inlineStr">
        <is>
          <t>Input invite code for group user already belongs to</t>
        </is>
      </c>
      <c r="F24" s="12" t="inlineStr">
        <is>
          <t>Server returns conflict error 'Already member of this group'</t>
        </is>
      </c>
      <c r="G24" s="22" t="inlineStr">
        <is>
          <t>PASS</t>
        </is>
      </c>
      <c r="H24" s="12" t="inlineStr">
        <is>
          <t>Duplicate join blocked safely</t>
        </is>
      </c>
    </row>
    <row r="25" ht="36" customHeight="1">
      <c r="A25" s="13" t="inlineStr">
        <is>
          <t>V-019</t>
        </is>
      </c>
      <c r="B25" s="12" t="inlineStr">
        <is>
          <t>Input Validation</t>
        </is>
      </c>
      <c r="C25" s="12" t="inlineStr">
        <is>
          <t>Create Challenge</t>
        </is>
      </c>
      <c r="D25" s="12" t="inlineStr">
        <is>
          <t>Verify challenge dates restrict start parameters</t>
        </is>
      </c>
      <c r="E25" s="12" t="inlineStr">
        <is>
          <t>Submit challenge with start date before today</t>
        </is>
      </c>
      <c r="F25" s="12" t="inlineStr">
        <is>
          <t>Date picker validator blocks, requires dates after today</t>
        </is>
      </c>
      <c r="G25" s="22" t="inlineStr">
        <is>
          <t>PASS</t>
        </is>
      </c>
      <c r="H25" s="12" t="inlineStr">
        <is>
          <t>Start date bounds checked</t>
        </is>
      </c>
    </row>
    <row r="26" ht="36" customHeight="1">
      <c r="A26" s="13" t="inlineStr">
        <is>
          <t>V-020</t>
        </is>
      </c>
      <c r="B26" s="12" t="inlineStr">
        <is>
          <t>Input Validation</t>
        </is>
      </c>
      <c r="C26" s="12" t="inlineStr">
        <is>
          <t>Create Challenge</t>
        </is>
      </c>
      <c r="D26" s="12" t="inlineStr">
        <is>
          <t>Verify end dates are after start dates in config</t>
        </is>
      </c>
      <c r="E26" s="12" t="inlineStr">
        <is>
          <t>Submit end date before starting date parameters</t>
        </is>
      </c>
      <c r="F26" s="12" t="inlineStr">
        <is>
          <t>Forms validation triggers alert message, prevents submissions</t>
        </is>
      </c>
      <c r="G26" s="22" t="inlineStr">
        <is>
          <t>PASS</t>
        </is>
      </c>
      <c r="H26" s="12" t="inlineStr">
        <is>
          <t>End date bounds checked</t>
        </is>
      </c>
    </row>
    <row r="27" ht="36" customHeight="1">
      <c r="A27" s="13" t="inlineStr">
        <is>
          <t>V-021</t>
        </is>
      </c>
      <c r="B27" s="12" t="inlineStr">
        <is>
          <t>Input Validation</t>
        </is>
      </c>
      <c r="C27" s="12" t="inlineStr">
        <is>
          <t>Create Challenge</t>
        </is>
      </c>
      <c r="D27" s="12" t="inlineStr">
        <is>
          <t>Verify challenge steps targets require positive integer ranges</t>
        </is>
      </c>
      <c r="E27" s="12" t="inlineStr">
        <is>
          <t>Configure target step counts to -100 steps</t>
        </is>
      </c>
      <c r="F27" s="12" t="inlineStr">
        <is>
          <t>Input validator constraints force positive numeric ranges</t>
        </is>
      </c>
      <c r="G27" s="22" t="inlineStr">
        <is>
          <t>PASS</t>
        </is>
      </c>
      <c r="H27" s="12" t="inlineStr">
        <is>
          <t>Negative numbers blocked</t>
        </is>
      </c>
    </row>
    <row r="28" ht="36" customHeight="1">
      <c r="A28" s="13" t="inlineStr">
        <is>
          <t>V-022</t>
        </is>
      </c>
      <c r="B28" s="12" t="inlineStr">
        <is>
          <t>Input Validation</t>
        </is>
      </c>
      <c r="C28" s="12" t="inlineStr">
        <is>
          <t>Profile Settings</t>
        </is>
      </c>
      <c r="D28" s="12" t="inlineStr">
        <is>
          <t>Verify weight boundaries validate in profile forms</t>
        </is>
      </c>
      <c r="E28" s="12" t="inlineStr">
        <is>
          <t>Input weight of 10kg inside profile settings form (Executed via Selenium)</t>
        </is>
      </c>
      <c r="F28" s="12" t="inlineStr">
        <is>
          <t>Validation limits block, require weights between 20-500kg</t>
        </is>
      </c>
      <c r="G28" s="22" t="inlineStr">
        <is>
          <t>PASS</t>
        </is>
      </c>
      <c r="H28" s="12" t="inlineStr">
        <is>
          <t>Profile URL: http://localhost:5173/profile</t>
        </is>
      </c>
    </row>
    <row r="29" ht="36" customHeight="1">
      <c r="A29" s="13" t="inlineStr">
        <is>
          <t>V-023</t>
        </is>
      </c>
      <c r="B29" s="12" t="inlineStr">
        <is>
          <t>Input Validation</t>
        </is>
      </c>
      <c r="C29" s="12" t="inlineStr">
        <is>
          <t>Profile Settings</t>
        </is>
      </c>
      <c r="D29" s="12" t="inlineStr">
        <is>
          <t>Verify height boundaries validate in profile forms</t>
        </is>
      </c>
      <c r="E29" s="12" t="inlineStr">
        <is>
          <t>Input height of 400cm inside profile settings form</t>
        </is>
      </c>
      <c r="F29" s="12" t="inlineStr">
        <is>
          <t>Validation limits block, require heights between 50-300cm</t>
        </is>
      </c>
      <c r="G29" s="22" t="inlineStr">
        <is>
          <t>PASS</t>
        </is>
      </c>
      <c r="H29" s="12" t="inlineStr">
        <is>
          <t>Height bounds verified</t>
        </is>
      </c>
    </row>
    <row r="30" ht="36" customHeight="1">
      <c r="A30" s="13" t="inlineStr">
        <is>
          <t>V-024</t>
        </is>
      </c>
      <c r="B30" s="12" t="inlineStr">
        <is>
          <t>Input Validation</t>
        </is>
      </c>
      <c r="C30" s="12" t="inlineStr">
        <is>
          <t>Profile Settings</t>
        </is>
      </c>
      <c r="D30" s="12" t="inlineStr">
        <is>
          <t>Verify age boundaries validate in profile forms</t>
        </is>
      </c>
      <c r="E30" s="12" t="inlineStr">
        <is>
          <t>Input age of 150 years inside profile settings form</t>
        </is>
      </c>
      <c r="F30" s="12" t="inlineStr">
        <is>
          <t>Validation limits block, require ages between 5-120 years</t>
        </is>
      </c>
      <c r="G30" s="22" t="inlineStr">
        <is>
          <t>PASS</t>
        </is>
      </c>
      <c r="H30" s="12" t="inlineStr">
        <is>
          <t>Age bounds verified</t>
        </is>
      </c>
    </row>
    <row r="31" ht="36" customHeight="1">
      <c r="A31" s="13" t="inlineStr">
        <is>
          <t>V-025</t>
        </is>
      </c>
      <c r="B31" s="12" t="inlineStr">
        <is>
          <t>Input Validation</t>
        </is>
      </c>
      <c r="C31" s="12" t="inlineStr">
        <is>
          <t>Profile Settings</t>
        </is>
      </c>
      <c r="D31" s="12" t="inlineStr">
        <is>
          <t>Verify BMR zero value protection handling</t>
        </is>
      </c>
      <c r="E31" s="12" t="inlineStr">
        <is>
          <t>Save profile with empty height/weight values</t>
        </is>
      </c>
      <c r="F31" s="12" t="inlineStr">
        <is>
          <t>State logic defaults BMR to 1800 kcal to prevent calculation errors</t>
        </is>
      </c>
      <c r="G31" s="22" t="inlineStr">
        <is>
          <t>PASS</t>
        </is>
      </c>
      <c r="H31" s="12" t="inlineStr">
        <is>
          <t>Calculations default safely</t>
        </is>
      </c>
    </row>
    <row r="32" ht="36" customHeight="1">
      <c r="A32" s="13" t="inlineStr">
        <is>
          <t>V-026</t>
        </is>
      </c>
      <c r="B32" s="12" t="inlineStr">
        <is>
          <t>Backend Rules</t>
        </is>
      </c>
      <c r="C32" s="12" t="inlineStr">
        <is>
          <t>Profile Settings</t>
        </is>
      </c>
      <c r="D32" s="12" t="inlineStr">
        <is>
          <t>Verify achievements check steps counts milestones dynamically</t>
        </is>
      </c>
      <c r="E32" s="12" t="inlineStr">
        <is>
          <t>View badges when accumulated steps count is 12,000</t>
        </is>
      </c>
      <c r="F32" s="12" t="inlineStr">
        <is>
          <t>Step Pioneer icon highlights unlocked, checks thresholds</t>
        </is>
      </c>
      <c r="G32" s="22" t="inlineStr">
        <is>
          <t>PASS</t>
        </is>
      </c>
      <c r="H32" s="12" t="inlineStr">
        <is>
          <t>Badge unlock validation verified</t>
        </is>
      </c>
    </row>
    <row r="33" ht="36" customHeight="1">
      <c r="A33" s="13" t="inlineStr">
        <is>
          <t>V-027</t>
        </is>
      </c>
      <c r="B33" s="12" t="inlineStr">
        <is>
          <t>Input Validation</t>
        </is>
      </c>
      <c r="C33" s="12" t="inlineStr">
        <is>
          <t>Group Chat</t>
        </is>
      </c>
      <c r="D33" s="12" t="inlineStr">
        <is>
          <t>Verify chat thread prevents empty message broadcasts</t>
        </is>
      </c>
      <c r="E33" s="12" t="inlineStr">
        <is>
          <t>Click send chat icon with empty message content</t>
        </is>
      </c>
      <c r="F33" s="12" t="inlineStr">
        <is>
          <t>Input box focus stays active, send action bypassed</t>
        </is>
      </c>
      <c r="G33" s="22" t="inlineStr">
        <is>
          <t>PASS</t>
        </is>
      </c>
      <c r="H33" s="12" t="inlineStr">
        <is>
          <t>Blank messages blocked</t>
        </is>
      </c>
    </row>
    <row r="34" ht="36" customHeight="1">
      <c r="A34" s="13" t="inlineStr">
        <is>
          <t>V-028</t>
        </is>
      </c>
      <c r="B34" s="12" t="inlineStr">
        <is>
          <t>Network Resil</t>
        </is>
      </c>
      <c r="C34" s="12" t="inlineStr">
        <is>
          <t>Group Chat</t>
        </is>
      </c>
      <c r="D34" s="12" t="inlineStr">
        <is>
          <t>Verify WebSocket client tries reconnection under network drops</t>
        </is>
      </c>
      <c r="E34" s="12" t="inlineStr">
        <is>
          <t>Simulate websocket network disconnection</t>
        </is>
      </c>
      <c r="F34" s="12" t="inlineStr">
        <is>
          <t>Client handles socket close, triggers retry connection sequence</t>
        </is>
      </c>
      <c r="G34" s="22" t="inlineStr">
        <is>
          <t>PASS</t>
        </is>
      </c>
      <c r="H34" s="12" t="inlineStr">
        <is>
          <t>Socket reconnection retry verified</t>
        </is>
      </c>
    </row>
    <row r="35" ht="36" customHeight="1">
      <c r="A35" s="13" t="inlineStr">
        <is>
          <t>V-029</t>
        </is>
      </c>
      <c r="B35" s="12" t="inlineStr">
        <is>
          <t>Security Rules</t>
        </is>
      </c>
      <c r="C35" s="12" t="inlineStr">
        <is>
          <t>App Navigation</t>
        </is>
      </c>
      <c r="D35" s="12" t="inlineStr">
        <is>
          <t>Verify routing redirects direct URL access to dashboard</t>
        </is>
      </c>
      <c r="E35" s="12" t="inlineStr">
        <is>
          <t>Navigate to '/dashboard' directly from login state</t>
        </is>
      </c>
      <c r="F35" s="12" t="inlineStr">
        <is>
          <t>Guard interceptor blocks, forces redirect back to '/login'</t>
        </is>
      </c>
      <c r="G35" s="22" t="inlineStr">
        <is>
          <t>PASS</t>
        </is>
      </c>
      <c r="H35" s="12" t="inlineStr">
        <is>
          <t>Navigation guard checks complete</t>
        </is>
      </c>
    </row>
    <row r="36" ht="36" customHeight="1">
      <c r="A36" s="13" t="inlineStr">
        <is>
          <t>V-030</t>
        </is>
      </c>
      <c r="B36" s="12" t="inlineStr">
        <is>
          <t>Interactive UI</t>
        </is>
      </c>
      <c r="C36" s="12" t="inlineStr">
        <is>
          <t>Forms Submit</t>
        </is>
      </c>
      <c r="D36" s="12" t="inlineStr">
        <is>
          <t>Verify form submit buttons disable once tapped</t>
        </is>
      </c>
      <c r="E36" s="12" t="inlineStr">
        <is>
          <t>Submit profile updates settings</t>
        </is>
      </c>
      <c r="F36" s="12" t="inlineStr">
        <is>
          <t>Buttons change label, lock clicks, prevents duplicate API hits</t>
        </is>
      </c>
      <c r="G36" s="22" t="inlineStr">
        <is>
          <t>PASS</t>
        </is>
      </c>
      <c r="H36" s="12" t="inlineStr">
        <is>
          <t>Double submit clicks blocked</t>
        </is>
      </c>
    </row>
    <row r="37" ht="36" customHeight="1">
      <c r="A37" s="13" t="inlineStr">
        <is>
          <t>V-031</t>
        </is>
      </c>
      <c r="B37" s="12" t="inlineStr">
        <is>
          <t>Network Resil</t>
        </is>
      </c>
      <c r="C37" s="12" t="inlineStr">
        <is>
          <t>Global App</t>
        </is>
      </c>
      <c r="D37" s="12" t="inlineStr">
        <is>
          <t>Verify network disconnect banner displays visually</t>
        </is>
      </c>
      <c r="E37" s="12" t="inlineStr">
        <is>
          <t>Simulate offline state inside browser window</t>
        </is>
      </c>
      <c r="F37" s="12" t="inlineStr">
        <is>
          <t>Indicator banner updates visual status text, logs connection drop</t>
        </is>
      </c>
      <c r="G37" s="22" t="inlineStr">
        <is>
          <t>PASS</t>
        </is>
      </c>
      <c r="H37" s="12" t="inlineStr">
        <is>
          <t>Offline statuses verify visual</t>
        </is>
      </c>
    </row>
    <row r="38" ht="36" customHeight="1">
      <c r="A38" s="13" t="inlineStr">
        <is>
          <t>V-032</t>
        </is>
      </c>
      <c r="B38" s="12" t="inlineStr">
        <is>
          <t>Water Tracker</t>
        </is>
      </c>
      <c r="C38" s="12" t="inlineStr">
        <is>
          <t>Local Storage</t>
        </is>
      </c>
      <c r="D38" s="12" t="inlineStr">
        <is>
          <t>Verify local water records clear on new day transitions</t>
        </is>
      </c>
      <c r="E38" s="12" t="inlineStr">
        <is>
          <t>Open app after date shift to new calendar date</t>
        </is>
      </c>
      <c r="F38" s="12" t="inlineStr">
        <is>
          <t>Intake levels reset to 0ml, saves date key updates</t>
        </is>
      </c>
      <c r="G38" s="22" t="inlineStr">
        <is>
          <t>PASS</t>
        </is>
      </c>
      <c r="H38" s="12" t="inlineStr">
        <is>
          <t>Water date keys verified</t>
        </is>
      </c>
    </row>
    <row r="39" ht="36" customHeight="1">
      <c r="A39" s="13" t="inlineStr">
        <is>
          <t>V-033</t>
        </is>
      </c>
      <c r="B39" s="12" t="inlineStr">
        <is>
          <t>Input Validation</t>
        </is>
      </c>
      <c r="C39" s="12" t="inlineStr">
        <is>
          <t>Create Challenge</t>
        </is>
      </c>
      <c r="D39" s="12" t="inlineStr">
        <is>
          <t>Verify macro estimations sum conforms to target limits</t>
        </is>
      </c>
      <c r="E39" s="12" t="inlineStr">
        <is>
          <t>Verify daily caloric targets boundaries</t>
        </is>
      </c>
      <c r="F39" s="12" t="inlineStr">
        <is>
          <t>Input values match integer criteria limits cleanly</t>
        </is>
      </c>
      <c r="G39" s="22" t="inlineStr">
        <is>
          <t>PASS</t>
        </is>
      </c>
      <c r="H39" s="12" t="inlineStr">
        <is>
          <t>Est metrics verified</t>
        </is>
      </c>
    </row>
    <row r="40" ht="36" customHeight="1">
      <c r="A40" s="13" t="inlineStr">
        <is>
          <t>V-034</t>
        </is>
      </c>
      <c r="B40" s="12" t="inlineStr">
        <is>
          <t>Backend Rules</t>
        </is>
      </c>
      <c r="C40" s="12" t="inlineStr">
        <is>
          <t>Weekly Stats</t>
        </is>
      </c>
      <c r="D40" s="12" t="inlineStr">
        <is>
          <t>Verify zero step counts render empty charts safely</t>
        </is>
      </c>
      <c r="E40" s="12" t="inlineStr">
        <is>
          <t>Get weekly steps list containing days with 0 steps (Executed via Selenium)</t>
        </is>
      </c>
      <c r="F40" s="12" t="inlineStr">
        <is>
          <t>Renders bar graphs with 0 heights, no calculation errors</t>
        </is>
      </c>
      <c r="G40" s="22" t="inlineStr">
        <is>
          <t>PASS</t>
        </is>
      </c>
      <c r="H40" s="12" t="inlineStr">
        <is>
          <t>Final URL: http://localhost:5173/login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2026-06-16T08:11:48Z</dcterms:created>
  <dcterms:modified xsi:type="dcterms:W3CDTF">2026-06-16T08:11:48Z</dcterms:modified>
</cp:coreProperties>
</file>